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11008"/>
  <workbookPr dateCompatibility="0" hidePivotFieldList="1" defaultThemeVersion="166925"/>
  <mc:AlternateContent xmlns:mc="http://schemas.openxmlformats.org/markup-compatibility/2006">
    <mc:Choice Requires="x15">
      <x15ac:absPath xmlns:x15ac="http://schemas.microsoft.com/office/spreadsheetml/2010/11/ac" url="/Users/joelmathooko/Desktop/PROJECTS/Jumia Project/"/>
    </mc:Choice>
  </mc:AlternateContent>
  <xr:revisionPtr revIDLastSave="0" documentId="8_{F3748A45-F8DD-674A-BB58-E9B1685CBF13}" xr6:coauthVersionLast="47" xr6:coauthVersionMax="47" xr10:uidLastSave="{00000000-0000-0000-0000-000000000000}"/>
  <bookViews>
    <workbookView xWindow="0" yWindow="0" windowWidth="28800" windowHeight="18000" activeTab="2"/>
  </bookViews>
  <sheets>
    <sheet name="jumia_products_cleaned" sheetId="1" r:id="rId1"/>
    <sheet name="Dashboard_Data" sheetId="4" r:id="rId2"/>
    <sheet name="Dashboard" sheetId="2" r:id="rId3"/>
  </sheets>
  <definedNames>
    <definedName name="_xlchart.v1.0" hidden="1">jumia_products_cleaned!$D$2:$D$113</definedName>
    <definedName name="_xlchart.v1.1" hidden="1">jumia_products_cleaned!$J$1</definedName>
    <definedName name="_xlchart.v1.10" hidden="1">jumia_products_cleaned!$J$1</definedName>
    <definedName name="_xlchart.v1.11" hidden="1">jumia_products_cleaned!$J$2:$J$113</definedName>
    <definedName name="_xlchart.v1.2" hidden="1">jumia_products_cleaned!$J$2:$J$113</definedName>
    <definedName name="_xlchart.v1.3" hidden="1">jumia_products_cleaned!$D$2:$D$113</definedName>
    <definedName name="_xlchart.v1.4" hidden="1">jumia_products_cleaned!$J$1</definedName>
    <definedName name="_xlchart.v1.5" hidden="1">jumia_products_cleaned!$J$2:$J$113</definedName>
    <definedName name="_xlchart.v1.6" hidden="1">jumia_products_cleaned!$D$2:$D$113</definedName>
    <definedName name="_xlchart.v1.7" hidden="1">jumia_products_cleaned!$J$1</definedName>
    <definedName name="_xlchart.v1.8" hidden="1">jumia_products_cleaned!$J$2:$J$113</definedName>
    <definedName name="_xlchart.v1.9" hidden="1">jumia_products_cleaned!$D$2:$D$113</definedName>
    <definedName name="Slicer_discount_category">#N/A</definedName>
    <definedName name="Slicer_discount_category1">#N/A</definedName>
    <definedName name="Slicer_price_category">#N/A</definedName>
    <definedName name="Slicer_price_category1">#N/A</definedName>
    <definedName name="Slicer_rating_category">#N/A</definedName>
    <definedName name="Slicer_rating_category1">#N/A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purl.oclc.org/ooxml/spreadsheetml/main">
  <c r="B3" i="2" l="1"/>
  <c r="C3" i="2"/>
  <c r="D3" i="2"/>
  <c r="E3" i="2"/>
  <c r="F3" i="2"/>
  <c r="B4" i="2"/>
  <c r="C4" i="2"/>
  <c r="D4" i="2"/>
  <c r="E4" i="2"/>
  <c r="F4" i="2"/>
</calcChain>
</file>

<file path=xl/sharedStrings.xml><?xml version="1.0" encoding="utf-8"?>
<sst xmlns="http://purl.oclc.org/ooxml/spreadsheetml/main" count="560" uniqueCount="151">
  <si>
    <t>product</t>
  </si>
  <si>
    <t>discount</t>
  </si>
  <si>
    <t>review</t>
  </si>
  <si>
    <t>rating</t>
  </si>
  <si>
    <t>total_rating</t>
  </si>
  <si>
    <t>current_price_min</t>
  </si>
  <si>
    <t>current_price_max</t>
  </si>
  <si>
    <t>old_price_min</t>
  </si>
  <si>
    <t>old_price_max</t>
  </si>
  <si>
    <t>current_price_mid</t>
  </si>
  <si>
    <t>old_price_mid</t>
  </si>
  <si>
    <t>discount_amount</t>
  </si>
  <si>
    <t>calculated_discount_pct</t>
  </si>
  <si>
    <t>discount_difference</t>
  </si>
  <si>
    <t>rating_category</t>
  </si>
  <si>
    <t>discount_category</t>
  </si>
  <si>
    <t>price_category</t>
  </si>
  <si>
    <t>115  Piece Set Of Multifunctional Precision Screwdrivers</t>
  </si>
  <si>
    <t>Average</t>
  </si>
  <si>
    <t>Medium</t>
  </si>
  <si>
    <t>Metal Decorative Hooks Key Hangers Entryway Wall Hooks Towel Hooks - Home</t>
  </si>
  <si>
    <t>High</t>
  </si>
  <si>
    <t>Portable Mini Cordless Car Vacuum Cleaner - Blue</t>
  </si>
  <si>
    <t>Excellent</t>
  </si>
  <si>
    <t>Premium</t>
  </si>
  <si>
    <t>Weighing Scale Digital Bathroom Body Fat Scale USB-Black</t>
  </si>
  <si>
    <t>Portable Home Small Air Humidifier 3-Speed Fan - Green</t>
  </si>
  <si>
    <t>220V 60W Electric Soldering Iron Kits With Tools, Tips, And Multimeter</t>
  </si>
  <si>
    <t>Low</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</si>
  <si>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</si>
  <si>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</si>
  <si>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</si>
  <si>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</si>
  <si>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</si>
  <si>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</si>
  <si>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</si>
  <si>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</si>
  <si>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</si>
  <si>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</si>
  <si>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</si>
  <si>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</si>
  <si>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</si>
  <si>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</si>
  <si>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</si>
  <si>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</si>
  <si>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Missing</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</si>
  <si>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</si>
  <si>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</si>
  <si>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</si>
  <si>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</si>
  <si>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</si>
  <si>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</si>
  <si>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</si>
  <si>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</si>
  <si>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</si>
  <si>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</si>
  <si>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</si>
  <si>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</si>
  <si>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</si>
  <si>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</si>
  <si>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</si>
  <si>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</si>
  <si>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</si>
  <si>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</si>
  <si>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</si>
  <si>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</si>
  <si>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</si>
  <si>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</si>
  <si>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</si>
  <si>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</si>
  <si>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</si>
  <si>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</si>
  <si>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</si>
  <si>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</si>
  <si>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</si>
  <si>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</si>
  <si>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</si>
  <si>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</si>
  <si>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</si>
  <si>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</si>
  <si>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</si>
  <si>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</si>
  <si>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</si>
  <si>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Poor</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</si>
  <si>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</si>
  <si>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</si>
  <si>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</si>
  <si>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</si>
  <si>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</si>
  <si>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</si>
  <si>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</si>
  <si>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</si>
  <si>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</si>
  <si>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</si>
  <si>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</si>
  <si>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</si>
  <si>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</si>
  <si>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</si>
  <si>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</si>
  <si>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</si>
  <si>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</si>
  <si>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</si>
  <si>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</si>
  <si>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</si>
  <si>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</si>
  <si>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Gloves.32‚Ñâ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</si>
  <si>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</si>
  <si>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</si>
  <si>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</si>
  <si>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</si>
  <si>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</si>
  <si>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</si>
  <si>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</si>
  <si>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</si>
  <si>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</si>
  <si>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</si>
  <si>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</si>
  <si>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</si>
  <si>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</si>
  <si>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</si>
  <si>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</si>
  <si>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</si>
  <si>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</si>
  <si>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</si>
  <si>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</si>
  <si>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</si>
  <si>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</si>
  <si>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</si>
  <si>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</si>
  <si>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</si>
  <si>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</si>
  <si>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</si>
  <si>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</si>
  <si>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</si>
  <si>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Count of product</t>
  </si>
  <si>
    <t>Average of discount</t>
  </si>
  <si>
    <t>Average of rating</t>
  </si>
  <si>
    <t>Sum of review</t>
  </si>
  <si>
    <t>Grand Total</t>
  </si>
  <si>
    <t>Product</t>
  </si>
  <si>
    <t>Current_Price_vs_Rating</t>
  </si>
  <si>
    <t>Rating Bands</t>
  </si>
  <si>
    <t>Discount Category</t>
  </si>
  <si>
    <t>Average Price</t>
  </si>
  <si>
    <t>Average discount</t>
  </si>
  <si>
    <t>Average rating</t>
  </si>
  <si>
    <t>Total products</t>
  </si>
  <si>
    <t>Total reviews</t>
  </si>
  <si>
    <t>Top 10 Products by Discount</t>
  </si>
  <si>
    <t>Top 10 Products by Reviews</t>
  </si>
  <si>
    <t>Top 10 Products by Rating</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</si>
</sst>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1">
    <numFmt numFmtId="164" formatCode="[$Ksh-441]\ #,##0.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0"/>
      <color theme="0"/>
      <name val="Calibri"/>
      <family val="2"/>
      <scheme val="minor"/>
    </font>
    <font>
      <sz val="1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2" fontId="0" fillId="0" borderId="0" xfId="0" applyNumberFormat="1" applyAlignment="1">
      <alignment horizontal="center"/>
    </xf>
    <xf numFmtId="0" fontId="0" fillId="0" borderId="0" xfId="0" pivotButton="1" applyAlignment="1">
      <alignment horizontal="center"/>
    </xf>
    <xf numFmtId="4" fontId="0" fillId="0" borderId="0" xfId="0" applyNumberFormat="1" applyAlignment="1">
      <alignment horizontal="center"/>
    </xf>
    <xf numFmtId="0" fontId="0" fillId="0" borderId="0" xfId="0" applyNumberFormat="1" applyAlignment="1">
      <alignment horizontal="center"/>
    </xf>
    <xf numFmtId="0" fontId="0" fillId="0" borderId="0" xfId="0" pivotButton="1" applyAlignment="1">
      <alignment horizontal="left"/>
    </xf>
    <xf numFmtId="0" fontId="17" fillId="33" borderId="0" xfId="0" applyFont="1" applyFill="1" applyAlignment="1">
      <alignment horizontal="center"/>
    </xf>
    <xf numFmtId="0" fontId="18" fillId="33" borderId="0" xfId="0" applyFont="1" applyFill="1" applyAlignment="1">
      <alignment horizontal="center"/>
    </xf>
    <xf numFmtId="164" fontId="18" fillId="33" borderId="0" xfId="0" applyNumberFormat="1" applyFont="1" applyFill="1" applyAlignment="1">
      <alignment horizontal="center"/>
    </xf>
    <xf numFmtId="10" fontId="18" fillId="33" borderId="0" xfId="0" applyNumberFormat="1" applyFont="1" applyFill="1" applyAlignment="1">
      <alignment horizontal="center"/>
    </xf>
    <xf numFmtId="2" fontId="18" fillId="33" borderId="0" xfId="0" applyNumberFormat="1" applyFont="1" applyFill="1" applyAlignment="1">
      <alignment horizontal="center"/>
    </xf>
    <xf numFmtId="0" fontId="19" fillId="33" borderId="0" xfId="0" applyFont="1" applyFill="1" applyAlignment="1">
      <alignment horizontal="center" vertical="center"/>
    </xf>
    <xf numFmtId="0" fontId="17" fillId="33" borderId="0" xfId="0" applyFont="1" applyFill="1" applyAlignment="1">
      <alignment horizontal="center" vertical="center"/>
    </xf>
    <xf numFmtId="0" fontId="17" fillId="33" borderId="0" xfId="0" applyFont="1" applyFill="1"/>
    <xf numFmtId="0" fontId="17" fillId="33" borderId="0" xfId="0" applyFont="1" applyFill="1" applyAlignment="1">
      <alignment horizontal="left"/>
    </xf>
    <xf numFmtId="0" fontId="17" fillId="33" borderId="0" xfId="0" applyNumberFormat="1" applyFont="1" applyFill="1" applyAlignment="1">
      <alignment horizontal="center"/>
    </xf>
    <xf numFmtId="0" fontId="17"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69">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font>
        <color theme="0"/>
      </font>
    </dxf>
    <dxf>
      <font>
        <color theme="0"/>
      </font>
    </dxf>
    <dxf>
      <font>
        <color theme="0"/>
      </font>
    </dxf>
    <dxf>
      <font>
        <color theme="0"/>
      </font>
    </dxf>
    <dxf>
      <font>
        <color theme="0"/>
      </font>
    </dxf>
    <dxf>
      <font>
        <color theme="0"/>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alignment horizontal="center"/>
    </dxf>
    <dxf>
      <alignment horizontal="center"/>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alignment horizontal="center"/>
    </dxf>
    <dxf>
      <alignment horizontal="center"/>
    </dxf>
    <dxf>
      <font>
        <color theme="0"/>
      </font>
    </dxf>
    <dxf>
      <font>
        <color theme="0"/>
      </font>
    </dxf>
    <dxf>
      <font>
        <color theme="0"/>
      </font>
    </dxf>
    <dxf>
      <font>
        <color theme="0"/>
      </font>
    </dxf>
    <dxf>
      <font>
        <color theme="0"/>
      </font>
    </dxf>
    <dxf>
      <font>
        <color theme="0"/>
      </font>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ont>
        <color theme="0"/>
      </font>
    </dxf>
    <dxf>
      <font>
        <color theme="0"/>
      </font>
    </dxf>
    <dxf>
      <font>
        <color theme="0"/>
      </font>
    </dxf>
    <dxf>
      <font>
        <color theme="0"/>
      </font>
    </dxf>
    <dxf>
      <font>
        <color theme="0"/>
      </font>
    </dxf>
    <dxf>
      <font>
        <color theme="0"/>
      </font>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numFmt numFmtId="4" formatCode="#,##0.00"/>
    </dxf>
    <dxf>
      <numFmt numFmtId="4" formatCode="#,##0.00"/>
    </dxf>
    <dxf>
      <numFmt numFmtId="164" formatCode="[$Ksh-441]\ #,##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purl.oclc.org/ooxml/officeDocument/relationships/sharedStrings" Target="sharedStrings.xml"/><Relationship Id="rId3" Type="http://purl.oclc.org/ooxml/officeDocument/relationships/worksheet" Target="worksheets/sheet3.xml"/><Relationship Id="rId7" Type="http://schemas.microsoft.com/office/2007/relationships/slicerCache" Target="slicerCaches/slicerCache3.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2.xml"/><Relationship Id="rId11" Type="http://purl.oclc.org/ooxml/officeDocument/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purl.oclc.org/ooxml/officeDocument/relationships/pivotCacheDefinition" Target="pivotCache/pivotCacheDefinition1.xml"/><Relationship Id="rId9" Type="http://schemas.microsoft.com/office/2007/relationships/slicerCache" Target="slicerCaches/slicerCache5.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r>
              <a:rPr lang="en-US" sz="1800"/>
              <a:t>Correlation</a:t>
            </a:r>
            <a:r>
              <a:rPr lang="en-US" sz="1800" baseline="0%"/>
              <a:t> between Price and Rating</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endParaRPr lang="en-US"/>
        </a:p>
      </c:txPr>
    </c:title>
    <c:autoTitleDeleted val="0"/>
    <c:plotArea>
      <c:layout/>
      <c:scatterChart>
        <c:scatterStyle val="lineMarker"/>
        <c:varyColors val="0"/>
        <c:ser>
          <c:idx val="0"/>
          <c:order val="0"/>
          <c:tx>
            <c:strRef>
              <c:f>jumia_products_cleaned!$J$1</c:f>
              <c:strCache>
                <c:ptCount val="1"/>
                <c:pt idx="0">
                  <c:v>current_price_mid</c:v>
                </c:pt>
              </c:strCache>
            </c:strRef>
          </c:tx>
          <c:spPr>
            <a:ln w="19050" cap="rnd">
              <a:noFill/>
              <a:round/>
            </a:ln>
            <a:effectLst/>
          </c:spPr>
          <c:marker>
            <c:symbol val="circle"/>
            <c:size val="7"/>
            <c:spPr>
              <a:solidFill>
                <a:schemeClr val="accent2"/>
              </a:solidFill>
              <a:ln w="9525">
                <a:solidFill>
                  <a:schemeClr val="bg2">
                    <a:lumMod val="10%"/>
                  </a:schemeClr>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trendlineLbl>
          </c:trendline>
          <c:xVal>
            <c:numRef>
              <c:f>jumia_products_cleaned!$J$2:$J$113</c:f>
              <c:numCache>
                <c:formatCode>General</c:formatCode>
                <c:ptCount val="112"/>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jumia_products_cleaned!$D$2:$D$113</c:f>
              <c:numCache>
                <c:formatCode>General</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1-78FB-3548-B05D-C1E84C31D50C}"/>
            </c:ext>
          </c:extLst>
        </c:ser>
        <c:dLbls>
          <c:showLegendKey val="0"/>
          <c:showVal val="0"/>
          <c:showCatName val="0"/>
          <c:showSerName val="0"/>
          <c:showPercent val="0"/>
          <c:showBubbleSize val="0"/>
        </c:dLbls>
        <c:axId val="1529735679"/>
        <c:axId val="1529729407"/>
      </c:scatterChart>
      <c:valAx>
        <c:axId val="1529735679"/>
        <c:scaling>
          <c:orientation val="minMax"/>
        </c:scaling>
        <c:delete val="0"/>
        <c:axPos val="b"/>
        <c:majorGridlines>
          <c:spPr>
            <a:ln w="9525" cap="flat" cmpd="sng" algn="ctr">
              <a:solidFill>
                <a:schemeClr val="tx1">
                  <a:lumMod val="15%"/>
                  <a:lumOff val="85%"/>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r>
                  <a:rPr lang="en-GB" sz="1800"/>
                  <a:t>Pricing</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529729407"/>
        <c:crosses val="autoZero"/>
        <c:crossBetween val="midCat"/>
      </c:valAx>
      <c:valAx>
        <c:axId val="1529729407"/>
        <c:scaling>
          <c:orientation val="minMax"/>
          <c:max val="5"/>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r>
                  <a:rPr lang="en-GB" sz="1800"/>
                  <a:t> Rating</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529735679"/>
        <c:crosses val="autoZero"/>
        <c:crossBetween val="midCat"/>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r>
              <a:rPr lang="en-US" sz="1800"/>
              <a:t>Correlation</a:t>
            </a:r>
            <a:r>
              <a:rPr lang="en-US" sz="1800" baseline="0%"/>
              <a:t> between Discount and Rating </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endParaRPr lang="en-US"/>
        </a:p>
      </c:txPr>
    </c:title>
    <c:autoTitleDeleted val="0"/>
    <c:plotArea>
      <c:layout/>
      <c:scatterChart>
        <c:scatterStyle val="lineMarker"/>
        <c:varyColors val="0"/>
        <c:ser>
          <c:idx val="0"/>
          <c:order val="0"/>
          <c:tx>
            <c:strRef>
              <c:f>jumia_products_cleaned!$J$1</c:f>
              <c:strCache>
                <c:ptCount val="1"/>
                <c:pt idx="0">
                  <c:v>current_price_mid</c:v>
                </c:pt>
              </c:strCache>
            </c:strRef>
          </c:tx>
          <c:spPr>
            <a:ln w="19050" cap="rnd">
              <a:noFill/>
              <a:round/>
            </a:ln>
            <a:effectLst/>
          </c:spPr>
          <c:marker>
            <c:symbol val="circle"/>
            <c:size val="7"/>
            <c:spPr>
              <a:solidFill>
                <a:schemeClr val="accent2"/>
              </a:solidFill>
              <a:ln w="9525">
                <a:solidFill>
                  <a:schemeClr val="tx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trendlineLbl>
          </c:trendline>
          <c:xVal>
            <c:numRef>
              <c:f>jumia_products_cleaned!$B$2:$B$113</c:f>
              <c:numCache>
                <c:formatCode>General</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jumia_products_cleaned!$D$2:$D$113</c:f>
              <c:numCache>
                <c:formatCode>General</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1-D872-8442-911F-DB52AC475DDD}"/>
            </c:ext>
          </c:extLst>
        </c:ser>
        <c:dLbls>
          <c:showLegendKey val="0"/>
          <c:showVal val="0"/>
          <c:showCatName val="0"/>
          <c:showSerName val="0"/>
          <c:showPercent val="0"/>
          <c:showBubbleSize val="0"/>
        </c:dLbls>
        <c:axId val="1529735679"/>
        <c:axId val="1529729407"/>
      </c:scatterChart>
      <c:valAx>
        <c:axId val="1529735679"/>
        <c:scaling>
          <c:orientation val="minMax"/>
        </c:scaling>
        <c:delete val="0"/>
        <c:axPos val="b"/>
        <c:majorGridlines>
          <c:spPr>
            <a:ln w="9525" cap="flat" cmpd="sng" algn="ctr">
              <a:solidFill>
                <a:schemeClr val="tx1">
                  <a:lumMod val="15%"/>
                  <a:lumOff val="85%"/>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r>
                  <a:rPr lang="en-GB" sz="1800"/>
                  <a:t>Discount</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529729407"/>
        <c:crosses val="autoZero"/>
        <c:crossBetween val="midCat"/>
      </c:valAx>
      <c:valAx>
        <c:axId val="1529729407"/>
        <c:scaling>
          <c:orientation val="minMax"/>
          <c:max val="5"/>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r>
                  <a:rPr lang="en-GB" sz="1800"/>
                  <a:t> Rating</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529735679"/>
        <c:crosses val="autoZero"/>
        <c:crossBetween val="midCat"/>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r>
              <a:rPr lang="en-US" sz="1800"/>
              <a:t>Correlation</a:t>
            </a:r>
            <a:r>
              <a:rPr lang="en-US" sz="1800" baseline="0%"/>
              <a:t> between Rating and Review</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
                  <a:lumOff val="35%"/>
                </a:schemeClr>
              </a:solidFill>
              <a:latin typeface="+mn-lt"/>
              <a:ea typeface="+mn-ea"/>
              <a:cs typeface="+mn-cs"/>
            </a:defRPr>
          </a:pPr>
          <a:endParaRPr lang="en-US"/>
        </a:p>
      </c:txPr>
    </c:title>
    <c:autoTitleDeleted val="0"/>
    <c:plotArea>
      <c:layout/>
      <c:scatterChart>
        <c:scatterStyle val="lineMarker"/>
        <c:varyColors val="0"/>
        <c:ser>
          <c:idx val="0"/>
          <c:order val="0"/>
          <c:tx>
            <c:strRef>
              <c:f>jumia_products_cleaned!$J$1</c:f>
              <c:strCache>
                <c:ptCount val="1"/>
                <c:pt idx="0">
                  <c:v>current_price_mid</c:v>
                </c:pt>
              </c:strCache>
            </c:strRef>
          </c:tx>
          <c:spPr>
            <a:ln w="19050" cap="rnd">
              <a:noFill/>
              <a:round/>
            </a:ln>
            <a:effectLst/>
          </c:spPr>
          <c:marker>
            <c:symbol val="circle"/>
            <c:size val="7"/>
            <c:spPr>
              <a:solidFill>
                <a:schemeClr val="accent2"/>
              </a:solidFill>
              <a:ln w="9525">
                <a:solidFill>
                  <a:schemeClr val="bg2">
                    <a:lumMod val="10%"/>
                  </a:schemeClr>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trendlineLbl>
          </c:trendline>
          <c:xVal>
            <c:numRef>
              <c:f>jumia_products_cleaned!$C$2:$C$113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xVal>
          <c:yVal>
            <c:numRef>
              <c:f>jumia_products_cleaned!$D$2:$D$113</c:f>
              <c:numCache>
                <c:formatCode>General</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1-7243-E94F-B805-2FFF797D44FE}"/>
            </c:ext>
          </c:extLst>
        </c:ser>
        <c:dLbls>
          <c:showLegendKey val="0"/>
          <c:showVal val="0"/>
          <c:showCatName val="0"/>
          <c:showSerName val="0"/>
          <c:showPercent val="0"/>
          <c:showBubbleSize val="0"/>
        </c:dLbls>
        <c:axId val="1529735679"/>
        <c:axId val="1529729407"/>
      </c:scatterChart>
      <c:valAx>
        <c:axId val="1529735679"/>
        <c:scaling>
          <c:orientation val="minMax"/>
          <c:max val="100"/>
        </c:scaling>
        <c:delete val="0"/>
        <c:axPos val="b"/>
        <c:majorGridlines>
          <c:spPr>
            <a:ln w="9525" cap="flat" cmpd="sng" algn="ctr">
              <a:solidFill>
                <a:schemeClr val="tx1">
                  <a:lumMod val="15%"/>
                  <a:lumOff val="85%"/>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r>
                  <a:rPr lang="en-GB" sz="1800"/>
                  <a:t>Review</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529729407"/>
        <c:crosses val="autoZero"/>
        <c:crossBetween val="midCat"/>
      </c:valAx>
      <c:valAx>
        <c:axId val="1529729407"/>
        <c:scaling>
          <c:orientation val="minMax"/>
          <c:max val="5"/>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r>
                  <a:rPr lang="en-GB" sz="1800"/>
                  <a:t> Rating</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529735679"/>
        <c:crosses val="autoZero"/>
        <c:crossBetween val="midCat"/>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[jumia_products_cleaned.xlsx]Dashboard_Data!Rating_Bands</c:name>
    <c:fmtId val="4"/>
  </c:pivotSource>
  <c:chart>
    <c:title>
      <c:tx>
        <c:rich>
          <a:bodyPr rot="0" spcFirstLastPara="1" vertOverflow="ellipsis" vert="horz" wrap="square" anchor="ctr" anchorCtr="1"/>
          <a:lstStyle/>
          <a:p>
            <a:pPr>
              <a:defRPr sz="2000" b="0" i="0" u="none" strike="noStrike" kern="1200" spc="0" baseline="0%">
                <a:solidFill>
                  <a:schemeClr val="tx1">
                    <a:lumMod val="65%"/>
                    <a:lumOff val="35%"/>
                  </a:schemeClr>
                </a:solidFill>
                <a:latin typeface="+mn-lt"/>
                <a:ea typeface="+mn-ea"/>
                <a:cs typeface="+mn-cs"/>
              </a:defRPr>
            </a:pPr>
            <a:r>
              <a:rPr lang="en-US" sz="2000"/>
              <a:t>Rating</a:t>
            </a:r>
            <a:r>
              <a:rPr lang="en-US" sz="2000" baseline="0%"/>
              <a:t> Bands</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Dashboard_Data!$B$83</c:f>
              <c:strCache>
                <c:ptCount val="1"/>
                <c:pt idx="0">
                  <c:v>Total</c:v>
                </c:pt>
              </c:strCache>
            </c:strRef>
          </c:tx>
          <c:spPr>
            <a:solidFill>
              <a:schemeClr val="accent2"/>
            </a:solidFill>
            <a:ln>
              <a:noFill/>
            </a:ln>
            <a:effectLst/>
          </c:spPr>
          <c:invertIfNegative val="0"/>
          <c:cat>
            <c:strRef>
              <c:f>Dashboard_Data!$A$84:$A$88</c:f>
              <c:strCache>
                <c:ptCount val="4"/>
                <c:pt idx="0">
                  <c:v>Average</c:v>
                </c:pt>
                <c:pt idx="1">
                  <c:v>Excellent</c:v>
                </c:pt>
                <c:pt idx="2">
                  <c:v>Missing</c:v>
                </c:pt>
                <c:pt idx="3">
                  <c:v>Poor</c:v>
                </c:pt>
              </c:strCache>
            </c:strRef>
          </c:cat>
          <c:val>
            <c:numRef>
              <c:f>Dashboard_Data!$B$84:$B$88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0-2FA4-5547-9334-A58C1C770E14}"/>
            </c:ext>
          </c:extLst>
        </c:ser>
        <c:dLbls>
          <c:showLegendKey val="0"/>
          <c:showVal val="0"/>
          <c:showCatName val="0"/>
          <c:showSerName val="0"/>
          <c:showPercent val="0"/>
          <c:showBubbleSize val="0"/>
        </c:dLbls>
        <c:gapWidth val="219"/>
        <c:overlap val="-27"/>
        <c:axId val="1548817215"/>
        <c:axId val="1548826175"/>
      </c:barChart>
      <c:catAx>
        <c:axId val="1548817215"/>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
                        <a:lumOff val="35%"/>
                      </a:schemeClr>
                    </a:solidFill>
                    <a:latin typeface="+mn-lt"/>
                    <a:ea typeface="+mn-ea"/>
                    <a:cs typeface="+mn-cs"/>
                  </a:defRPr>
                </a:pPr>
                <a:r>
                  <a:rPr lang="en-GB" sz="1600"/>
                  <a:t>Rating</a:t>
                </a:r>
                <a:r>
                  <a:rPr lang="en-GB" sz="1600" baseline="0%"/>
                  <a:t> Category</a:t>
                </a:r>
                <a:endParaRPr lang="en-GB" sz="1600"/>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548826175"/>
        <c:crosses val="autoZero"/>
        <c:auto val="1"/>
        <c:lblAlgn val="ctr"/>
        <c:lblOffset val="100"/>
        <c:noMultiLvlLbl val="0"/>
      </c:catAx>
      <c:valAx>
        <c:axId val="1548826175"/>
        <c:scaling>
          <c:orientation val="minMax"/>
        </c:scaling>
        <c:delete val="0"/>
        <c:axPos val="l"/>
        <c:majorGridlines>
          <c:spPr>
            <a:ln w="9525" cap="flat" cmpd="sng" algn="ctr">
              <a:solidFill>
                <a:schemeClr val="bg2">
                  <a:lumMod val="9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
                        <a:lumOff val="35%"/>
                      </a:schemeClr>
                    </a:solidFill>
                    <a:latin typeface="+mn-lt"/>
                    <a:ea typeface="+mn-ea"/>
                    <a:cs typeface="+mn-cs"/>
                  </a:defRPr>
                </a:pPr>
                <a:r>
                  <a:rPr lang="en-GB" sz="1600"/>
                  <a:t>Number</a:t>
                </a:r>
                <a:r>
                  <a:rPr lang="en-GB" sz="1600" baseline="0%"/>
                  <a:t> Of Products</a:t>
                </a:r>
                <a:endParaRPr lang="en-GB" sz="1600"/>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54881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
                    <a:lumOff val="35%"/>
                  </a:schemeClr>
                </a:solidFill>
                <a:latin typeface="+mn-lt"/>
                <a:ea typeface="+mn-ea"/>
                <a:cs typeface="+mn-cs"/>
              </a:defRPr>
            </a:pPr>
            <a:r>
              <a:rPr lang="en-US" sz="2000"/>
              <a:t>Discount</a:t>
            </a:r>
            <a:r>
              <a:rPr lang="en-US" sz="2000" baseline="0%"/>
              <a:t> Bands</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3"/>
              <c:pt idx="0">
                <c:v>High</c:v>
              </c:pt>
              <c:pt idx="1">
                <c:v>Low</c:v>
              </c:pt>
              <c:pt idx="2">
                <c:v>Medium</c:v>
              </c:pt>
            </c:strLit>
          </c:cat>
          <c:val>
            <c:numLit>
              <c:formatCode>General</c:formatCode>
              <c:ptCount val="3"/>
              <c:pt idx="0">
                <c:v>62</c:v>
              </c:pt>
              <c:pt idx="1">
                <c:v>18</c:v>
              </c:pt>
              <c:pt idx="2">
                <c:v>32</c:v>
              </c:pt>
            </c:numLit>
          </c:val>
          <c:extLst>
            <c:ext xmlns:c16="http://schemas.microsoft.com/office/drawing/2014/chart" uri="{C3380CC4-5D6E-409C-BE32-E72D297353CC}">
              <c16:uniqueId val="{00000000-D8AA-4246-A224-FE2EE411955A}"/>
            </c:ext>
          </c:extLst>
        </c:ser>
        <c:dLbls>
          <c:showLegendKey val="0"/>
          <c:showVal val="0"/>
          <c:showCatName val="0"/>
          <c:showSerName val="0"/>
          <c:showPercent val="0"/>
          <c:showBubbleSize val="0"/>
        </c:dLbls>
        <c:gapWidth val="219"/>
        <c:overlap val="-27"/>
        <c:axId val="1469075391"/>
        <c:axId val="1469106367"/>
      </c:barChart>
      <c:catAx>
        <c:axId val="1469075391"/>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
                        <a:lumOff val="35%"/>
                      </a:schemeClr>
                    </a:solidFill>
                    <a:latin typeface="+mn-lt"/>
                    <a:ea typeface="+mn-ea"/>
                    <a:cs typeface="+mn-cs"/>
                  </a:defRPr>
                </a:pPr>
                <a:r>
                  <a:rPr lang="en-GB" sz="1600"/>
                  <a:t>Discount</a:t>
                </a:r>
                <a:r>
                  <a:rPr lang="en-GB" sz="1600" baseline="0%"/>
                  <a:t> Category</a:t>
                </a:r>
                <a:endParaRPr lang="en-GB" sz="1600"/>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469106367"/>
        <c:crosses val="autoZero"/>
        <c:auto val="1"/>
        <c:lblAlgn val="ctr"/>
        <c:lblOffset val="100"/>
        <c:noMultiLvlLbl val="0"/>
      </c:catAx>
      <c:valAx>
        <c:axId val="1469106367"/>
        <c:scaling>
          <c:orientation val="minMax"/>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
                        <a:lumOff val="35%"/>
                      </a:schemeClr>
                    </a:solidFill>
                    <a:latin typeface="+mn-lt"/>
                    <a:ea typeface="+mn-ea"/>
                    <a:cs typeface="+mn-cs"/>
                  </a:defRPr>
                </a:pPr>
                <a:r>
                  <a:rPr lang="en-GB" sz="1600"/>
                  <a:t>Number</a:t>
                </a:r>
                <a:r>
                  <a:rPr lang="en-GB" sz="1600" baseline="0%"/>
                  <a:t> Of Products</a:t>
                </a:r>
                <a:endParaRPr lang="en-GB" sz="1600"/>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
                    <a:lumOff val="35%"/>
                  </a:schemeClr>
                </a:solidFill>
                <a:latin typeface="+mn-lt"/>
                <a:ea typeface="+mn-ea"/>
                <a:cs typeface="+mn-cs"/>
              </a:defRPr>
            </a:pPr>
            <a:endParaRPr lang="en-US"/>
          </a:p>
        </c:txPr>
        <c:crossAx val="146907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40">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40">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40">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5" Type="http://purl.oclc.org/ooxml/officeDocument/relationships/chart" Target="../charts/chart5.xml"/><Relationship Id="rId4" Type="http://purl.oclc.org/ooxml/officeDocument/relationships/chart" Target="../charts/chart4.xml"/></Relationships>
</file>

<file path=xl/drawings/drawing1.xml><?xml version="1.0" encoding="utf-8"?>
<xdr:wsDr xmlns:xdr="http://purl.oclc.org/ooxml/drawingml/spreadsheetDrawing" xmlns:a="http://purl.oclc.org/ooxml/drawingml/main">
  <xdr:twoCellAnchor editAs="oneCell">
    <xdr:from>
      <xdr:col>7</xdr:col>
      <xdr:colOff>0</xdr:colOff>
      <xdr:row>51</xdr:row>
      <xdr:rowOff>0</xdr:rowOff>
    </xdr:from>
    <xdr:to>
      <xdr:col>9</xdr:col>
      <xdr:colOff>457200</xdr:colOff>
      <xdr:row>70</xdr:row>
      <xdr:rowOff>139700</xdr:rowOff>
    </xdr:to>
    <xdr:graphicFrame macro="">
      <xdr:nvGraphicFramePr>
        <xdr:cNvPr id="5" name="Chart 4">
          <a:extLst>
            <a:ext uri="{FF2B5EF4-FFF2-40B4-BE49-F238E27FC236}">
              <a16:creationId xmlns:a16="http://schemas.microsoft.com/office/drawing/2014/main" id="{59C722BF-9F5C-AB42-B186-5883AE3DBE3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7</xdr:col>
      <xdr:colOff>2819400</xdr:colOff>
      <xdr:row>37</xdr:row>
      <xdr:rowOff>25400</xdr:rowOff>
    </xdr:from>
    <xdr:to>
      <xdr:col>7</xdr:col>
      <xdr:colOff>4673600</xdr:colOff>
      <xdr:row>45</xdr:row>
      <xdr:rowOff>50800</xdr:rowOff>
    </xdr:to>
    <mc:AlternateContent xmlns:mc="http://schemas.openxmlformats.org/markup-compatibility/2006">
      <mc:Choice xmlns:a14="http://schemas.microsoft.com/office/drawing/2010/main" Requires="a14">
        <xdr:graphicFrame macro="">
          <xdr:nvGraphicFramePr>
            <xdr:cNvPr id="2" name="rating_category 1">
              <a:extLst>
                <a:ext uri="{FF2B5EF4-FFF2-40B4-BE49-F238E27FC236}">
                  <a16:creationId xmlns:a16="http://schemas.microsoft.com/office/drawing/2014/main" id="{A4CC26B1-8240-9D4E-9B26-A8EF614B8BCB}"/>
                </a:ext>
              </a:extLst>
            </xdr:cNvPr>
            <xdr:cNvGraphicFramePr/>
          </xdr:nvGraphicFramePr>
          <xdr:xfrm>
            <a:off x="0" y="0"/>
            <a:ext cx="0" cy="0"/>
          </xdr:xfrm>
          <a:graphic>
            <a:graphicData uri="http://schemas.microsoft.com/office/drawing/2010/slicer">
              <sle:slicer xmlns:sle="http://schemas.microsoft.com/office/drawing/2010/slicer" name="rating_category 1"/>
            </a:graphicData>
          </a:graphic>
        </xdr:graphicFrame>
      </mc:Choice>
      <mc:Fallback>
        <xdr:sp macro="" textlink="">
          <xdr:nvSpPr>
            <xdr:cNvPr id="0" name=""/>
            <xdr:cNvSpPr>
              <a:spLocks noTextEdit="1"/>
            </xdr:cNvSpPr>
          </xdr:nvSpPr>
          <xdr:spPr>
            <a:xfrm>
              <a:off x="20806144" y="7911214"/>
              <a:ext cx="1854200" cy="16793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37</xdr:row>
      <xdr:rowOff>25400</xdr:rowOff>
    </xdr:from>
    <xdr:to>
      <xdr:col>9</xdr:col>
      <xdr:colOff>673100</xdr:colOff>
      <xdr:row>44</xdr:row>
      <xdr:rowOff>177800</xdr:rowOff>
    </xdr:to>
    <mc:AlternateContent xmlns:mc="http://schemas.openxmlformats.org/markup-compatibility/2006">
      <mc:Choice xmlns:a14="http://schemas.microsoft.com/office/drawing/2010/main" Requires="a14">
        <xdr:graphicFrame macro="">
          <xdr:nvGraphicFramePr>
            <xdr:cNvPr id="3" name="discount_category">
              <a:extLst>
                <a:ext uri="{FF2B5EF4-FFF2-40B4-BE49-F238E27FC236}">
                  <a16:creationId xmlns:a16="http://schemas.microsoft.com/office/drawing/2014/main" id="{F8F751D4-730C-B040-B1AC-9094DAF765A5}"/>
                </a:ext>
              </a:extLst>
            </xdr:cNvPr>
            <xdr:cNvGraphicFramePr/>
          </xdr:nvGraphicFramePr>
          <xdr:xfrm>
            <a:off x="0" y="0"/>
            <a:ext cx="0" cy="0"/>
          </xdr:xfrm>
          <a:graphic>
            <a:graphicData uri="http://schemas.microsoft.com/office/drawing/2010/slicer">
              <sle:slicer xmlns:sle="http://schemas.microsoft.com/office/drawing/2010/slicer" name="discount_category"/>
            </a:graphicData>
          </a:graphic>
        </xdr:graphicFrame>
      </mc:Choice>
      <mc:Fallback>
        <xdr:sp macro="" textlink="">
          <xdr:nvSpPr>
            <xdr:cNvPr id="0" name=""/>
            <xdr:cNvSpPr>
              <a:spLocks noTextEdit="1"/>
            </xdr:cNvSpPr>
          </xdr:nvSpPr>
          <xdr:spPr>
            <a:xfrm>
              <a:off x="23566770" y="7911214"/>
              <a:ext cx="1841795" cy="15996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50800</xdr:colOff>
      <xdr:row>37</xdr:row>
      <xdr:rowOff>76200</xdr:rowOff>
    </xdr:from>
    <xdr:to>
      <xdr:col>7</xdr:col>
      <xdr:colOff>1905000</xdr:colOff>
      <xdr:row>45</xdr:row>
      <xdr:rowOff>101600</xdr:rowOff>
    </xdr:to>
    <mc:AlternateContent xmlns:mc="http://schemas.openxmlformats.org/markup-compatibility/2006">
      <mc:Choice xmlns:a14="http://schemas.microsoft.com/office/drawing/2010/main" Requires="a14">
        <xdr:graphicFrame macro="">
          <xdr:nvGraphicFramePr>
            <xdr:cNvPr id="4" name="price_category">
              <a:extLst>
                <a:ext uri="{FF2B5EF4-FFF2-40B4-BE49-F238E27FC236}">
                  <a16:creationId xmlns:a16="http://schemas.microsoft.com/office/drawing/2014/main" id="{AD30A028-CE1C-4940-A7EE-8685DAF1D903}"/>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18037544" y="7962014"/>
              <a:ext cx="1854200" cy="16793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812800</xdr:colOff>
      <xdr:row>51</xdr:row>
      <xdr:rowOff>25400</xdr:rowOff>
    </xdr:from>
    <xdr:to>
      <xdr:col>2</xdr:col>
      <xdr:colOff>1612900</xdr:colOff>
      <xdr:row>71</xdr:row>
      <xdr:rowOff>50800</xdr:rowOff>
    </xdr:to>
    <xdr:graphicFrame macro="">
      <xdr:nvGraphicFramePr>
        <xdr:cNvPr id="6" name="Chart 5">
          <a:extLst>
            <a:ext uri="{FF2B5EF4-FFF2-40B4-BE49-F238E27FC236}">
              <a16:creationId xmlns:a16="http://schemas.microsoft.com/office/drawing/2014/main" id="{7C66FF0B-E99A-2C4B-A124-DE0FA738211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editAs="oneCell">
    <xdr:from>
      <xdr:col>4</xdr:col>
      <xdr:colOff>12700</xdr:colOff>
      <xdr:row>50</xdr:row>
      <xdr:rowOff>190500</xdr:rowOff>
    </xdr:from>
    <xdr:to>
      <xdr:col>6</xdr:col>
      <xdr:colOff>50800</xdr:colOff>
      <xdr:row>71</xdr:row>
      <xdr:rowOff>50800</xdr:rowOff>
    </xdr:to>
    <xdr:graphicFrame macro="">
      <xdr:nvGraphicFramePr>
        <xdr:cNvPr id="7" name="Chart 6">
          <a:extLst>
            <a:ext uri="{FF2B5EF4-FFF2-40B4-BE49-F238E27FC236}">
              <a16:creationId xmlns:a16="http://schemas.microsoft.com/office/drawing/2014/main" id="{E7D6F6C6-8066-6F48-B9C5-ACDD61CA554D}"/>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editAs="oneCell">
    <xdr:from>
      <xdr:col>3</xdr:col>
      <xdr:colOff>2095500</xdr:colOff>
      <xdr:row>30</xdr:row>
      <xdr:rowOff>25400</xdr:rowOff>
    </xdr:from>
    <xdr:to>
      <xdr:col>6</xdr:col>
      <xdr:colOff>76200</xdr:colOff>
      <xdr:row>47</xdr:row>
      <xdr:rowOff>25400</xdr:rowOff>
    </xdr:to>
    <xdr:graphicFrame macro="">
      <xdr:nvGraphicFramePr>
        <xdr:cNvPr id="8" name="Chart 7">
          <a:extLst>
            <a:ext uri="{FF2B5EF4-FFF2-40B4-BE49-F238E27FC236}">
              <a16:creationId xmlns:a16="http://schemas.microsoft.com/office/drawing/2014/main" id="{31246F98-0FD2-D347-9A34-8F52C5877F8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editAs="oneCell">
    <xdr:from>
      <xdr:col>0</xdr:col>
      <xdr:colOff>685800</xdr:colOff>
      <xdr:row>29</xdr:row>
      <xdr:rowOff>152400</xdr:rowOff>
    </xdr:from>
    <xdr:to>
      <xdr:col>2</xdr:col>
      <xdr:colOff>1524000</xdr:colOff>
      <xdr:row>46</xdr:row>
      <xdr:rowOff>165100</xdr:rowOff>
    </xdr:to>
    <xdr:graphicFrame macro="">
      <xdr:nvGraphicFramePr>
        <xdr:cNvPr id="9" name="Chart 8">
          <a:extLst>
            <a:ext uri="{FF2B5EF4-FFF2-40B4-BE49-F238E27FC236}">
              <a16:creationId xmlns:a16="http://schemas.microsoft.com/office/drawing/2014/main" id="{1DBF93A2-8775-E248-93EB-2356B26F52C7}"/>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editAs="absolute">
    <xdr:from>
      <xdr:col>7</xdr:col>
      <xdr:colOff>1676400</xdr:colOff>
      <xdr:row>75</xdr:row>
      <xdr:rowOff>25400</xdr:rowOff>
    </xdr:from>
    <xdr:to>
      <xdr:col>7</xdr:col>
      <xdr:colOff>3517900</xdr:colOff>
      <xdr:row>83</xdr:row>
      <xdr:rowOff>14767</xdr:rowOff>
    </xdr:to>
    <mc:AlternateContent xmlns:mc="http://schemas.openxmlformats.org/markup-compatibility/2006">
      <mc:Choice xmlns:sle15="http://schemas.microsoft.com/office/drawing/2012/slicer" Requires="sle15">
        <xdr:graphicFrame macro="">
          <xdr:nvGraphicFramePr>
            <xdr:cNvPr id="10" name="rating_category">
              <a:extLst>
                <a:ext uri="{FF2B5EF4-FFF2-40B4-BE49-F238E27FC236}">
                  <a16:creationId xmlns:a16="http://schemas.microsoft.com/office/drawing/2014/main" id="{8A77115C-438C-DA48-A539-02E853C592DD}"/>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dr:sp macro="" textlink="">
          <xdr:nvSpPr>
            <xdr:cNvPr id="0" name=""/>
            <xdr:cNvSpPr>
              <a:spLocks noTextEdit="1"/>
            </xdr:cNvSpPr>
          </xdr:nvSpPr>
          <xdr:spPr>
            <a:xfrm>
              <a:off x="19663144" y="15767493"/>
              <a:ext cx="1841500" cy="164332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800100</xdr:colOff>
      <xdr:row>76</xdr:row>
      <xdr:rowOff>12700</xdr:rowOff>
    </xdr:from>
    <xdr:to>
      <xdr:col>1</xdr:col>
      <xdr:colOff>1879600</xdr:colOff>
      <xdr:row>84</xdr:row>
      <xdr:rowOff>25400</xdr:rowOff>
    </xdr:to>
    <mc:AlternateContent xmlns:mc="http://schemas.openxmlformats.org/markup-compatibility/2006">
      <mc:Choice xmlns:sle15="http://schemas.microsoft.com/office/drawing/2012/slicer" Requires="sle15">
        <xdr:graphicFrame macro="">
          <xdr:nvGraphicFramePr>
            <xdr:cNvPr id="11" name="discount_category 1">
              <a:extLst>
                <a:ext uri="{FF2B5EF4-FFF2-40B4-BE49-F238E27FC236}">
                  <a16:creationId xmlns:a16="http://schemas.microsoft.com/office/drawing/2014/main" id="{6F7DB570-6BB6-F34E-B2BF-5538AC8555C8}"/>
                </a:ext>
              </a:extLst>
            </xdr:cNvPr>
            <xdr:cNvGraphicFramePr/>
          </xdr:nvGraphicFramePr>
          <xdr:xfrm>
            <a:off x="0" y="0"/>
            <a:ext cx="0" cy="0"/>
          </xdr:xfrm>
          <a:graphic>
            <a:graphicData uri="http://schemas.microsoft.com/office/drawing/2010/slicer">
              <sle:slicer xmlns:sle="http://schemas.microsoft.com/office/drawing/2010/slicer" name="discount_category 1"/>
            </a:graphicData>
          </a:graphic>
        </xdr:graphicFrame>
      </mc:Choice>
      <mc:Fallback>
        <xdr:sp macro="" textlink="">
          <xdr:nvSpPr>
            <xdr:cNvPr id="0" name=""/>
            <xdr:cNvSpPr>
              <a:spLocks noTextEdit="1"/>
            </xdr:cNvSpPr>
          </xdr:nvSpPr>
          <xdr:spPr>
            <a:xfrm>
              <a:off x="800100" y="15961537"/>
              <a:ext cx="1906477" cy="166665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38100</xdr:colOff>
      <xdr:row>75</xdr:row>
      <xdr:rowOff>25400</xdr:rowOff>
    </xdr:from>
    <xdr:to>
      <xdr:col>4</xdr:col>
      <xdr:colOff>1866900</xdr:colOff>
      <xdr:row>83</xdr:row>
      <xdr:rowOff>38100</xdr:rowOff>
    </xdr:to>
    <mc:AlternateContent xmlns:mc="http://schemas.openxmlformats.org/markup-compatibility/2006">
      <mc:Choice xmlns:sle15="http://schemas.microsoft.com/office/drawing/2012/slicer" Requires="sle15">
        <xdr:graphicFrame macro="">
          <xdr:nvGraphicFramePr>
            <xdr:cNvPr id="12" name="price_category 1">
              <a:extLst>
                <a:ext uri="{FF2B5EF4-FFF2-40B4-BE49-F238E27FC236}">
                  <a16:creationId xmlns:a16="http://schemas.microsoft.com/office/drawing/2014/main" id="{1E50A6A9-E93A-3549-B659-89F0E0E96FD3}"/>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dr:sp macro="" textlink="">
          <xdr:nvSpPr>
            <xdr:cNvPr id="0" name=""/>
            <xdr:cNvSpPr>
              <a:spLocks noTextEdit="1"/>
            </xdr:cNvSpPr>
          </xdr:nvSpPr>
          <xdr:spPr>
            <a:xfrm>
              <a:off x="10626356" y="15767493"/>
              <a:ext cx="1828800" cy="166665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r:id="rId1" refreshedBy="Joel Mutiso" refreshedDateIso="2026-09-20T12:45:07.799999811686575200" createdVersion="8" refreshedVersion="8" minRefreshableVersion="3" recordCount="112">
  <cacheSource type="worksheet">
    <worksheetSource name="Jumia_Products"/>
  </cacheSource>
  <cacheFields count="17">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Ñ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discount" numFmtId="0">
      <sharedItems containsSemiMixedTypes="0" containsString="0" containsNumber="1" minValue="0.01" maxValue="0.64"/>
    </cacheField>
    <cacheField name="review" numFmtId="0">
      <sharedItems containsString="0" containsBlank="1" containsNumber="1" containsInteger="1" minValue="1" maxValue="69"/>
    </cacheField>
    <cacheField name="rating" numFmtId="0">
      <sharedItems containsString="0" containsBlank="1" containsNumber="1" minValue="2" maxValue="5"/>
    </cacheField>
    <cacheField name="total_rating" numFmtId="0">
      <sharedItems containsString="0" containsBlank="1" containsNumber="1" containsInteger="1" minValue="5" maxValue="5"/>
    </cacheField>
    <cacheField name="current_price_min" numFmtId="0">
      <sharedItems containsSemiMixedTypes="0" containsString="0" containsNumber="1" containsInteger="1" minValue="38" maxValue="3750"/>
    </cacheField>
    <cacheField name="current_price_max" numFmtId="0">
      <sharedItems containsSemiMixedTypes="0" containsString="0" containsNumber="1" containsInteger="1" minValue="38" maxValue="3750"/>
    </cacheField>
    <cacheField name="old_price_min" numFmtId="0">
      <sharedItems containsSemiMixedTypes="0" containsString="0" containsNumber="1" containsInteger="1" minValue="80" maxValue="6143"/>
    </cacheField>
    <cacheField name="old_price_max" numFmtId="0">
      <sharedItems containsSemiMixedTypes="0" containsString="0" containsNumber="1" containsInteger="1" minValue="80" maxValue="6143"/>
    </cacheField>
    <cacheField name="current_price_mid" numFmtId="0">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sharedItems>
    </cacheField>
    <cacheField name="old_price_mid" numFmtId="0">
      <sharedItems containsSemiMixedTypes="0" containsString="0" containsNumber="1" containsInteger="1" minValue="80" maxValue="6143"/>
    </cacheField>
    <cacheField name="discount_amount" numFmtId="0">
      <sharedItems containsSemiMixedTypes="0" containsString="0" containsNumber="1" containsInteger="1" minValue="24" maxValue="2585"/>
    </cacheField>
    <cacheField name="calculated_discount_pct" numFmtId="0">
      <sharedItems containsSemiMixedTypes="0" containsString="0" containsNumber="1" minValue="1.2999999999999999E-2" maxValue="0.64"/>
    </cacheField>
    <cacheField name="discount_difference" numFmtId="0">
      <sharedItems containsSemiMixedTypes="0" containsString="0" containsNumber="1" minValue="-4.7E-2" maxValue="5.0000000000000001E-3"/>
    </cacheField>
    <cacheField name="rating_category" numFmtId="0">
      <sharedItems count="4">
        <s v="Average"/>
        <s v="Excellent"/>
        <s v="Missing"/>
        <s v="Poor"/>
      </sharedItems>
    </cacheField>
    <cacheField name="discount_category" numFmtId="0">
      <sharedItems count="3">
        <s v="Medium"/>
        <s v="High"/>
        <s v="Low"/>
      </sharedItems>
    </cacheField>
    <cacheField name="price_category" numFmtId="0">
      <sharedItems count="4">
        <s v="Medium"/>
        <s v="Premium"/>
        <s v="High"/>
        <s v="Low"/>
      </sharedItems>
    </cacheField>
  </cacheFields>
  <extLst>
    <ext xmlns:x14="http://schemas.microsoft.com/office/spreadsheetml/2009/9/main" uri="{725AE2AE-9491-48be-B2B4-4EB974FC3084}">
      <x14:pivotCacheDefinition pivotCacheId="1244958935"/>
    </ext>
  </extLst>
</pivotCacheDefinition>
</file>

<file path=xl/pivotCache/pivotCacheRecords1.xml><?xml version="1.0" encoding="utf-8"?>
<pivotCacheRecords xmlns="http://purl.oclc.org/ooxml/spreadsheetml/main" xmlns:r="http://purl.oclc.org/ooxml/officeDocument/relationships" count="112">
  <r>
    <x v="0"/>
    <n v="0.38"/>
    <n v="2"/>
    <n v="4.5"/>
    <n v="5"/>
    <n v="950"/>
    <n v="950"/>
    <n v="1525"/>
    <n v="1525"/>
    <x v="0"/>
    <n v="1525"/>
    <n v="575"/>
    <n v="0.377"/>
    <n v="-3.0000000000000001E-3"/>
    <x v="0"/>
    <x v="0"/>
    <x v="0"/>
  </r>
  <r>
    <x v="1"/>
    <n v="0.47"/>
    <n v="14"/>
    <n v="4.0999999999999996"/>
    <n v="5"/>
    <n v="527"/>
    <n v="527"/>
    <n v="999"/>
    <n v="999"/>
    <x v="1"/>
    <n v="999"/>
    <n v="472"/>
    <n v="0.47199999999999998"/>
    <n v="2E-3"/>
    <x v="0"/>
    <x v="1"/>
    <x v="0"/>
  </r>
  <r>
    <x v="2"/>
    <n v="0.25"/>
    <n v="24"/>
    <n v="4.5999999999999996"/>
    <n v="5"/>
    <n v="2199"/>
    <n v="2199"/>
    <n v="2923"/>
    <n v="2923"/>
    <x v="2"/>
    <n v="2923"/>
    <n v="724"/>
    <n v="0.248"/>
    <n v="-2E-3"/>
    <x v="1"/>
    <x v="0"/>
    <x v="1"/>
  </r>
  <r>
    <x v="3"/>
    <n v="0.37"/>
    <n v="7"/>
    <n v="4.7"/>
    <n v="5"/>
    <n v="1580"/>
    <n v="1580"/>
    <n v="2499"/>
    <n v="2499"/>
    <x v="3"/>
    <n v="2499"/>
    <n v="919"/>
    <n v="0.36799999999999999"/>
    <n v="-2E-3"/>
    <x v="1"/>
    <x v="0"/>
    <x v="2"/>
  </r>
  <r>
    <x v="4"/>
    <n v="0.26"/>
    <n v="5"/>
    <n v="4.8"/>
    <n v="5"/>
    <n v="1740"/>
    <n v="1740"/>
    <n v="2356"/>
    <n v="2356"/>
    <x v="4"/>
    <n v="2356"/>
    <n v="616"/>
    <n v="0.26100000000000001"/>
    <n v="1E-3"/>
    <x v="1"/>
    <x v="0"/>
    <x v="1"/>
  </r>
  <r>
    <x v="5"/>
    <n v="0.09"/>
    <n v="15"/>
    <n v="4"/>
    <n v="5"/>
    <n v="2999"/>
    <n v="2999"/>
    <n v="3290"/>
    <n v="3290"/>
    <x v="5"/>
    <n v="3290"/>
    <n v="291"/>
    <n v="8.7999999999999995E-2"/>
    <n v="-2E-3"/>
    <x v="0"/>
    <x v="2"/>
    <x v="1"/>
  </r>
  <r>
    <x v="6"/>
    <n v="0.24"/>
    <n v="55"/>
    <n v="4.5999999999999996"/>
    <n v="5"/>
    <n v="2319"/>
    <n v="2319"/>
    <n v="3032"/>
    <n v="3032"/>
    <x v="6"/>
    <n v="3032"/>
    <n v="713"/>
    <n v="0.23499999999999999"/>
    <n v="-5.0000000000000001E-3"/>
    <x v="1"/>
    <x v="0"/>
    <x v="1"/>
  </r>
  <r>
    <x v="7"/>
    <n v="0.37"/>
    <n v="2"/>
    <n v="4"/>
    <n v="5"/>
    <n v="988"/>
    <n v="988"/>
    <n v="1580"/>
    <n v="1580"/>
    <x v="7"/>
    <n v="1580"/>
    <n v="592"/>
    <n v="0.375"/>
    <n v="5.0000000000000001E-3"/>
    <x v="0"/>
    <x v="0"/>
    <x v="0"/>
  </r>
  <r>
    <x v="8"/>
    <n v="0.55000000000000004"/>
    <n v="5"/>
    <n v="4.8"/>
    <n v="5"/>
    <n v="1274"/>
    <n v="1274"/>
    <n v="2800"/>
    <n v="2800"/>
    <x v="8"/>
    <n v="2800"/>
    <n v="1526"/>
    <n v="0.54500000000000004"/>
    <n v="-5.0000000000000001E-3"/>
    <x v="1"/>
    <x v="1"/>
    <x v="2"/>
  </r>
  <r>
    <x v="9"/>
    <n v="0.45"/>
    <n v="5"/>
    <n v="3.8"/>
    <n v="5"/>
    <n v="1600"/>
    <n v="1600"/>
    <n v="2929"/>
    <n v="2929"/>
    <x v="9"/>
    <n v="2929"/>
    <n v="1329"/>
    <n v="0.45400000000000001"/>
    <n v="4.0000000000000001E-3"/>
    <x v="0"/>
    <x v="1"/>
    <x v="2"/>
  </r>
  <r>
    <x v="10"/>
    <n v="0.2"/>
    <n v="12"/>
    <n v="4.0999999999999996"/>
    <n v="5"/>
    <n v="799"/>
    <n v="799"/>
    <n v="999"/>
    <n v="999"/>
    <x v="10"/>
    <n v="999"/>
    <n v="200"/>
    <n v="0.2"/>
    <n v="0"/>
    <x v="0"/>
    <x v="0"/>
    <x v="0"/>
  </r>
  <r>
    <x v="11"/>
    <n v="0.34"/>
    <n v="39"/>
    <n v="4.7"/>
    <n v="5"/>
    <n v="990"/>
    <n v="990"/>
    <n v="1500"/>
    <n v="1500"/>
    <x v="11"/>
    <n v="1500"/>
    <n v="510"/>
    <n v="0.34"/>
    <n v="0"/>
    <x v="1"/>
    <x v="0"/>
    <x v="0"/>
  </r>
  <r>
    <x v="12"/>
    <n v="0.47"/>
    <n v="12"/>
    <n v="4.8"/>
    <n v="5"/>
    <n v="552"/>
    <n v="552"/>
    <n v="1035"/>
    <n v="1035"/>
    <x v="12"/>
    <n v="1035"/>
    <n v="483"/>
    <n v="0.46700000000000003"/>
    <n v="-3.0000000000000001E-3"/>
    <x v="1"/>
    <x v="1"/>
    <x v="0"/>
  </r>
  <r>
    <x v="13"/>
    <n v="0.42"/>
    <n v="6"/>
    <n v="4.5"/>
    <n v="5"/>
    <n v="501"/>
    <n v="501"/>
    <n v="860"/>
    <n v="860"/>
    <x v="13"/>
    <n v="860"/>
    <n v="359"/>
    <n v="0.41699999999999998"/>
    <n v="-3.0000000000000001E-3"/>
    <x v="0"/>
    <x v="1"/>
    <x v="0"/>
  </r>
  <r>
    <x v="14"/>
    <n v="0.33"/>
    <n v="9"/>
    <n v="4.2"/>
    <n v="5"/>
    <n v="1680"/>
    <n v="1680"/>
    <n v="2499"/>
    <n v="2499"/>
    <x v="14"/>
    <n v="2499"/>
    <n v="819"/>
    <n v="0.32800000000000001"/>
    <n v="-2E-3"/>
    <x v="0"/>
    <x v="0"/>
    <x v="1"/>
  </r>
  <r>
    <x v="15"/>
    <n v="0.51"/>
    <n v="2"/>
    <n v="5"/>
    <n v="5"/>
    <n v="332"/>
    <n v="332"/>
    <n v="684"/>
    <n v="684"/>
    <x v="15"/>
    <n v="684"/>
    <n v="352"/>
    <n v="0.51500000000000001"/>
    <n v="5.0000000000000001E-3"/>
    <x v="1"/>
    <x v="1"/>
    <x v="3"/>
  </r>
  <r>
    <x v="16"/>
    <n v="0.46"/>
    <n v="2"/>
    <n v="5"/>
    <n v="5"/>
    <n v="195"/>
    <n v="195"/>
    <n v="360"/>
    <n v="360"/>
    <x v="16"/>
    <n v="360"/>
    <n v="165"/>
    <n v="0.45800000000000002"/>
    <n v="-2E-3"/>
    <x v="1"/>
    <x v="1"/>
    <x v="3"/>
  </r>
  <r>
    <x v="17"/>
    <n v="0.49"/>
    <n v="3"/>
    <n v="5"/>
    <n v="5"/>
    <n v="2025"/>
    <n v="2025"/>
    <n v="3971"/>
    <n v="3971"/>
    <x v="17"/>
    <n v="3971"/>
    <n v="1946"/>
    <n v="0.49"/>
    <n v="0"/>
    <x v="1"/>
    <x v="1"/>
    <x v="1"/>
  </r>
  <r>
    <x v="18"/>
    <n v="0.19"/>
    <n v="5"/>
    <n v="4.5999999999999996"/>
    <n v="5"/>
    <n v="2999"/>
    <n v="2999"/>
    <n v="3699"/>
    <n v="3699"/>
    <x v="5"/>
    <n v="3699"/>
    <n v="700"/>
    <n v="0.189"/>
    <n v="-1E-3"/>
    <x v="1"/>
    <x v="2"/>
    <x v="1"/>
  </r>
  <r>
    <x v="19"/>
    <n v="0.49"/>
    <n v="44"/>
    <n v="4.5999999999999996"/>
    <n v="5"/>
    <n v="998"/>
    <n v="998"/>
    <n v="1966"/>
    <n v="1966"/>
    <x v="18"/>
    <n v="1966"/>
    <n v="968"/>
    <n v="0.49199999999999999"/>
    <n v="2E-3"/>
    <x v="1"/>
    <x v="1"/>
    <x v="0"/>
  </r>
  <r>
    <x v="20"/>
    <n v="0.53"/>
    <n v="13"/>
    <n v="3.3"/>
    <n v="5"/>
    <n v="38"/>
    <n v="38"/>
    <n v="80"/>
    <n v="80"/>
    <x v="19"/>
    <n v="80"/>
    <n v="42"/>
    <n v="0.52500000000000002"/>
    <n v="-5.0000000000000001E-3"/>
    <x v="0"/>
    <x v="1"/>
    <x v="3"/>
  </r>
  <r>
    <x v="21"/>
    <n v="0.42"/>
    <m/>
    <m/>
    <m/>
    <n v="1860"/>
    <n v="1860"/>
    <n v="3220"/>
    <n v="3220"/>
    <x v="20"/>
    <n v="3220"/>
    <n v="1360"/>
    <n v="0.42199999999999999"/>
    <n v="2E-3"/>
    <x v="2"/>
    <x v="1"/>
    <x v="1"/>
  </r>
  <r>
    <x v="22"/>
    <n v="0.35"/>
    <n v="6"/>
    <n v="4"/>
    <n v="5"/>
    <n v="880"/>
    <n v="880"/>
    <n v="1350"/>
    <n v="1350"/>
    <x v="21"/>
    <n v="1350"/>
    <n v="470"/>
    <n v="0.34799999999999998"/>
    <n v="-2E-3"/>
    <x v="0"/>
    <x v="0"/>
    <x v="0"/>
  </r>
  <r>
    <x v="23"/>
    <n v="0.23"/>
    <n v="14"/>
    <n v="4.4000000000000004"/>
    <n v="5"/>
    <n v="1650"/>
    <n v="1650"/>
    <n v="2150"/>
    <n v="2150"/>
    <x v="22"/>
    <n v="2150"/>
    <n v="500"/>
    <n v="0.23300000000000001"/>
    <n v="3.0000000000000001E-3"/>
    <x v="0"/>
    <x v="0"/>
    <x v="2"/>
  </r>
  <r>
    <x v="24"/>
    <n v="0.54"/>
    <n v="7"/>
    <n v="4.3"/>
    <n v="5"/>
    <n v="2048"/>
    <n v="2048"/>
    <n v="4500"/>
    <n v="4500"/>
    <x v="23"/>
    <n v="4500"/>
    <n v="2452"/>
    <n v="0.54500000000000004"/>
    <n v="5.0000000000000001E-3"/>
    <x v="0"/>
    <x v="1"/>
    <x v="1"/>
  </r>
  <r>
    <x v="25"/>
    <n v="0.35"/>
    <n v="49"/>
    <n v="4.5999999999999996"/>
    <n v="5"/>
    <n v="420"/>
    <n v="420"/>
    <n v="647"/>
    <n v="647"/>
    <x v="24"/>
    <n v="647"/>
    <n v="227"/>
    <n v="0.35099999999999998"/>
    <n v="1E-3"/>
    <x v="1"/>
    <x v="0"/>
    <x v="3"/>
  </r>
  <r>
    <x v="26"/>
    <n v="0.18"/>
    <n v="12"/>
    <n v="3.8"/>
    <n v="5"/>
    <n v="2880"/>
    <n v="2880"/>
    <n v="3520"/>
    <n v="3520"/>
    <x v="25"/>
    <n v="3520"/>
    <n v="640"/>
    <n v="0.182"/>
    <n v="2E-3"/>
    <x v="0"/>
    <x v="2"/>
    <x v="1"/>
  </r>
  <r>
    <x v="27"/>
    <n v="0.32"/>
    <n v="13"/>
    <n v="3.8"/>
    <n v="5"/>
    <n v="1350"/>
    <n v="1350"/>
    <n v="1990"/>
    <n v="1990"/>
    <x v="26"/>
    <n v="1990"/>
    <n v="640"/>
    <n v="0.32200000000000001"/>
    <n v="2E-3"/>
    <x v="0"/>
    <x v="0"/>
    <x v="2"/>
  </r>
  <r>
    <x v="28"/>
    <n v="0.3"/>
    <n v="20"/>
    <n v="4.0999999999999996"/>
    <n v="5"/>
    <n v="1758"/>
    <n v="1758"/>
    <n v="2499"/>
    <n v="2499"/>
    <x v="27"/>
    <n v="2499"/>
    <n v="741"/>
    <n v="0.29699999999999999"/>
    <n v="-3.0000000000000001E-3"/>
    <x v="0"/>
    <x v="0"/>
    <x v="1"/>
  </r>
  <r>
    <x v="29"/>
    <n v="0.46"/>
    <m/>
    <m/>
    <m/>
    <n v="2200"/>
    <n v="2200"/>
    <n v="4080"/>
    <n v="4080"/>
    <x v="28"/>
    <n v="4080"/>
    <n v="1880"/>
    <n v="0.46100000000000002"/>
    <n v="1E-3"/>
    <x v="2"/>
    <x v="1"/>
    <x v="1"/>
  </r>
  <r>
    <x v="30"/>
    <n v="0.52"/>
    <n v="9"/>
    <n v="4.3"/>
    <n v="5"/>
    <n v="185"/>
    <n v="185"/>
    <n v="382"/>
    <n v="382"/>
    <x v="29"/>
    <n v="382"/>
    <n v="197"/>
    <n v="0.51600000000000001"/>
    <n v="-4.0000000000000001E-3"/>
    <x v="0"/>
    <x v="1"/>
    <x v="3"/>
  </r>
  <r>
    <x v="31"/>
    <n v="0.34"/>
    <n v="12"/>
    <n v="4.7"/>
    <n v="5"/>
    <n v="980"/>
    <n v="980"/>
    <n v="1490"/>
    <n v="1490"/>
    <x v="30"/>
    <n v="1490"/>
    <n v="510"/>
    <n v="0.34200000000000003"/>
    <n v="2E-3"/>
    <x v="1"/>
    <x v="0"/>
    <x v="0"/>
  </r>
  <r>
    <x v="32"/>
    <n v="0.48"/>
    <n v="9"/>
    <n v="4.3"/>
    <n v="5"/>
    <n v="1820"/>
    <n v="1820"/>
    <n v="3490"/>
    <n v="3490"/>
    <x v="31"/>
    <n v="3490"/>
    <n v="1670"/>
    <n v="0.47899999999999998"/>
    <n v="-1E-3"/>
    <x v="0"/>
    <x v="1"/>
    <x v="1"/>
  </r>
  <r>
    <x v="33"/>
    <n v="0.27"/>
    <n v="20"/>
    <n v="4.7"/>
    <n v="5"/>
    <n v="1940"/>
    <n v="1940"/>
    <n v="2650"/>
    <n v="2650"/>
    <x v="32"/>
    <n v="2650"/>
    <n v="710"/>
    <n v="0.26800000000000002"/>
    <n v="-2E-3"/>
    <x v="1"/>
    <x v="0"/>
    <x v="1"/>
  </r>
  <r>
    <x v="34"/>
    <n v="0.27"/>
    <n v="32"/>
    <n v="4.5"/>
    <n v="5"/>
    <n v="1980"/>
    <n v="1980"/>
    <n v="2699"/>
    <n v="2699"/>
    <x v="33"/>
    <n v="2699"/>
    <n v="719"/>
    <n v="0.26600000000000001"/>
    <n v="-4.0000000000000001E-3"/>
    <x v="0"/>
    <x v="0"/>
    <x v="1"/>
  </r>
  <r>
    <x v="35"/>
    <n v="0.4"/>
    <n v="1"/>
    <n v="5"/>
    <n v="5"/>
    <n v="1620"/>
    <n v="1620"/>
    <n v="2690"/>
    <n v="2690"/>
    <x v="34"/>
    <n v="2690"/>
    <n v="1070"/>
    <n v="0.39800000000000002"/>
    <n v="-2E-3"/>
    <x v="1"/>
    <x v="0"/>
    <x v="2"/>
  </r>
  <r>
    <x v="36"/>
    <n v="0.53"/>
    <n v="2"/>
    <n v="5"/>
    <n v="5"/>
    <n v="171"/>
    <n v="171"/>
    <n v="360"/>
    <n v="360"/>
    <x v="35"/>
    <n v="360"/>
    <n v="189"/>
    <n v="0.52500000000000002"/>
    <n v="-5.0000000000000001E-3"/>
    <x v="1"/>
    <x v="1"/>
    <x v="3"/>
  </r>
  <r>
    <x v="37"/>
    <n v="0.41"/>
    <n v="36"/>
    <n v="4.3"/>
    <n v="5"/>
    <n v="389"/>
    <n v="389"/>
    <n v="656"/>
    <n v="656"/>
    <x v="36"/>
    <n v="656"/>
    <n v="267"/>
    <n v="0.40699999999999997"/>
    <n v="-3.0000000000000001E-3"/>
    <x v="0"/>
    <x v="1"/>
    <x v="3"/>
  </r>
  <r>
    <x v="38"/>
    <n v="0.38"/>
    <n v="2"/>
    <n v="4.5"/>
    <n v="5"/>
    <n v="1620"/>
    <n v="1980"/>
    <n v="2200"/>
    <n v="3200"/>
    <x v="37"/>
    <n v="2700"/>
    <n v="900"/>
    <n v="0.33300000000000002"/>
    <n v="-4.7E-2"/>
    <x v="0"/>
    <x v="0"/>
    <x v="1"/>
  </r>
  <r>
    <x v="39"/>
    <n v="0.38"/>
    <m/>
    <m/>
    <m/>
    <n v="2750"/>
    <n v="2750"/>
    <n v="4471"/>
    <n v="4471"/>
    <x v="38"/>
    <n v="4471"/>
    <n v="1721"/>
    <n v="0.38500000000000001"/>
    <n v="5.0000000000000001E-3"/>
    <x v="2"/>
    <x v="0"/>
    <x v="1"/>
  </r>
  <r>
    <x v="40"/>
    <n v="0.49"/>
    <m/>
    <m/>
    <m/>
    <n v="475"/>
    <n v="475"/>
    <n v="931"/>
    <n v="931"/>
    <x v="39"/>
    <n v="931"/>
    <n v="456"/>
    <n v="0.49"/>
    <n v="0"/>
    <x v="2"/>
    <x v="1"/>
    <x v="3"/>
  </r>
  <r>
    <x v="41"/>
    <n v="0.5"/>
    <m/>
    <m/>
    <m/>
    <n v="238"/>
    <n v="238"/>
    <n v="476"/>
    <n v="476"/>
    <x v="40"/>
    <n v="476"/>
    <n v="238"/>
    <n v="0.5"/>
    <n v="0"/>
    <x v="2"/>
    <x v="1"/>
    <x v="3"/>
  </r>
  <r>
    <x v="42"/>
    <n v="0.42"/>
    <m/>
    <m/>
    <m/>
    <n v="610"/>
    <n v="610"/>
    <n v="1060"/>
    <n v="1060"/>
    <x v="41"/>
    <n v="1060"/>
    <n v="450"/>
    <n v="0.42499999999999999"/>
    <n v="5.0000000000000001E-3"/>
    <x v="2"/>
    <x v="1"/>
    <x v="0"/>
  </r>
  <r>
    <x v="43"/>
    <n v="0.02"/>
    <m/>
    <m/>
    <m/>
    <n v="2132"/>
    <n v="2132"/>
    <n v="2169"/>
    <n v="2169"/>
    <x v="42"/>
    <n v="2169"/>
    <n v="37"/>
    <n v="1.7000000000000001E-2"/>
    <n v="-3.0000000000000001E-3"/>
    <x v="2"/>
    <x v="2"/>
    <x v="1"/>
  </r>
  <r>
    <x v="44"/>
    <n v="0.5"/>
    <m/>
    <m/>
    <m/>
    <n v="999"/>
    <n v="999"/>
    <n v="2000"/>
    <n v="2000"/>
    <x v="43"/>
    <n v="2000"/>
    <n v="1001"/>
    <n v="0.5"/>
    <n v="0"/>
    <x v="2"/>
    <x v="1"/>
    <x v="2"/>
  </r>
  <r>
    <x v="45"/>
    <n v="0.33"/>
    <m/>
    <m/>
    <m/>
    <n v="1190"/>
    <n v="1190"/>
    <n v="1785"/>
    <n v="1785"/>
    <x v="44"/>
    <n v="1785"/>
    <n v="595"/>
    <n v="0.33300000000000002"/>
    <n v="3.0000000000000001E-3"/>
    <x v="2"/>
    <x v="0"/>
    <x v="2"/>
  </r>
  <r>
    <x v="46"/>
    <n v="0.49"/>
    <m/>
    <m/>
    <m/>
    <n v="671"/>
    <n v="671"/>
    <n v="1316"/>
    <n v="1316"/>
    <x v="45"/>
    <n v="1316"/>
    <n v="645"/>
    <n v="0.49"/>
    <n v="0"/>
    <x v="2"/>
    <x v="1"/>
    <x v="0"/>
  </r>
  <r>
    <x v="47"/>
    <n v="0.38"/>
    <m/>
    <m/>
    <m/>
    <n v="1200"/>
    <n v="1200"/>
    <n v="1950"/>
    <n v="1950"/>
    <x v="46"/>
    <n v="1950"/>
    <n v="750"/>
    <n v="0.38500000000000001"/>
    <n v="5.0000000000000001E-3"/>
    <x v="2"/>
    <x v="0"/>
    <x v="2"/>
  </r>
  <r>
    <x v="48"/>
    <n v="0.61"/>
    <m/>
    <m/>
    <m/>
    <n v="199"/>
    <n v="199"/>
    <n v="504"/>
    <n v="504"/>
    <x v="47"/>
    <n v="504"/>
    <n v="305"/>
    <n v="0.60499999999999998"/>
    <n v="-5.0000000000000001E-3"/>
    <x v="2"/>
    <x v="1"/>
    <x v="3"/>
  </r>
  <r>
    <x v="49"/>
    <n v="0.5"/>
    <m/>
    <m/>
    <m/>
    <n v="299"/>
    <n v="299"/>
    <n v="600"/>
    <n v="600"/>
    <x v="48"/>
    <n v="600"/>
    <n v="301"/>
    <n v="0.502"/>
    <n v="2E-3"/>
    <x v="2"/>
    <x v="1"/>
    <x v="3"/>
  </r>
  <r>
    <x v="50"/>
    <n v="0.02"/>
    <m/>
    <m/>
    <m/>
    <n v="1660"/>
    <n v="1660"/>
    <n v="1699"/>
    <n v="1699"/>
    <x v="49"/>
    <n v="1699"/>
    <n v="39"/>
    <n v="2.3E-2"/>
    <n v="3.0000000000000001E-3"/>
    <x v="2"/>
    <x v="2"/>
    <x v="2"/>
  </r>
  <r>
    <x v="51"/>
    <n v="0.22"/>
    <m/>
    <m/>
    <m/>
    <n v="299"/>
    <n v="299"/>
    <n v="384"/>
    <n v="384"/>
    <x v="48"/>
    <n v="384"/>
    <n v="85"/>
    <n v="0.221"/>
    <n v="1E-3"/>
    <x v="2"/>
    <x v="0"/>
    <x v="3"/>
  </r>
  <r>
    <x v="52"/>
    <n v="0.03"/>
    <m/>
    <m/>
    <m/>
    <n v="1459"/>
    <n v="1459"/>
    <n v="1499"/>
    <n v="1499"/>
    <x v="50"/>
    <n v="1499"/>
    <n v="40"/>
    <n v="2.7E-2"/>
    <n v="-3.0000000000000001E-3"/>
    <x v="2"/>
    <x v="2"/>
    <x v="2"/>
  </r>
  <r>
    <x v="53"/>
    <n v="0.41"/>
    <m/>
    <m/>
    <m/>
    <n v="799"/>
    <n v="799"/>
    <n v="1343"/>
    <n v="1343"/>
    <x v="10"/>
    <n v="1343"/>
    <n v="544"/>
    <n v="0.40500000000000003"/>
    <n v="-5.0000000000000001E-3"/>
    <x v="2"/>
    <x v="1"/>
    <x v="0"/>
  </r>
  <r>
    <x v="54"/>
    <n v="0.45"/>
    <m/>
    <m/>
    <m/>
    <n v="499"/>
    <n v="499"/>
    <n v="900"/>
    <n v="900"/>
    <x v="51"/>
    <n v="900"/>
    <n v="401"/>
    <n v="0.44600000000000001"/>
    <n v="-4.0000000000000001E-3"/>
    <x v="2"/>
    <x v="1"/>
    <x v="0"/>
  </r>
  <r>
    <x v="55"/>
    <n v="0.48"/>
    <m/>
    <m/>
    <m/>
    <n v="699"/>
    <n v="699"/>
    <n v="1343"/>
    <n v="1343"/>
    <x v="52"/>
    <n v="1343"/>
    <n v="644"/>
    <n v="0.48"/>
    <n v="0"/>
    <x v="2"/>
    <x v="1"/>
    <x v="0"/>
  </r>
  <r>
    <x v="56"/>
    <n v="0.49"/>
    <m/>
    <m/>
    <m/>
    <n v="799"/>
    <n v="799"/>
    <n v="1567"/>
    <n v="1567"/>
    <x v="10"/>
    <n v="1567"/>
    <n v="768"/>
    <n v="0.49"/>
    <n v="0"/>
    <x v="2"/>
    <x v="1"/>
    <x v="0"/>
  </r>
  <r>
    <x v="57"/>
    <n v="0.27"/>
    <m/>
    <m/>
    <m/>
    <n v="2799"/>
    <n v="2799"/>
    <n v="3810"/>
    <n v="3810"/>
    <x v="53"/>
    <n v="3810"/>
    <n v="1011"/>
    <n v="0.26500000000000001"/>
    <n v="-5.0000000000000001E-3"/>
    <x v="2"/>
    <x v="0"/>
    <x v="1"/>
  </r>
  <r>
    <x v="54"/>
    <n v="0.55000000000000004"/>
    <m/>
    <m/>
    <m/>
    <n v="399"/>
    <n v="399"/>
    <n v="896"/>
    <n v="896"/>
    <x v="54"/>
    <n v="896"/>
    <n v="497"/>
    <n v="0.55500000000000005"/>
    <n v="5.0000000000000001E-3"/>
    <x v="2"/>
    <x v="1"/>
    <x v="3"/>
  </r>
  <r>
    <x v="58"/>
    <n v="0.13"/>
    <n v="6"/>
    <n v="2.5"/>
    <n v="5"/>
    <n v="2170"/>
    <n v="2170"/>
    <n v="2500"/>
    <n v="2500"/>
    <x v="55"/>
    <n v="2500"/>
    <n v="330"/>
    <n v="0.13200000000000001"/>
    <n v="2E-3"/>
    <x v="3"/>
    <x v="2"/>
    <x v="1"/>
  </r>
  <r>
    <x v="59"/>
    <n v="0.54"/>
    <n v="10"/>
    <n v="3"/>
    <n v="5"/>
    <n v="458"/>
    <n v="458"/>
    <n v="986"/>
    <n v="986"/>
    <x v="56"/>
    <n v="986"/>
    <n v="528"/>
    <n v="0.53500000000000003"/>
    <n v="-5.0000000000000001E-3"/>
    <x v="0"/>
    <x v="1"/>
    <x v="3"/>
  </r>
  <r>
    <x v="60"/>
    <n v="0.55000000000000004"/>
    <n v="13"/>
    <n v="2.1"/>
    <n v="5"/>
    <n v="2115"/>
    <n v="2115"/>
    <n v="4700"/>
    <n v="4700"/>
    <x v="57"/>
    <n v="4700"/>
    <n v="2585"/>
    <n v="0.55000000000000004"/>
    <n v="0"/>
    <x v="3"/>
    <x v="1"/>
    <x v="1"/>
  </r>
  <r>
    <x v="61"/>
    <n v="0.49"/>
    <n v="69"/>
    <n v="2.8"/>
    <n v="5"/>
    <n v="445"/>
    <n v="445"/>
    <n v="873"/>
    <n v="873"/>
    <x v="58"/>
    <n v="873"/>
    <n v="428"/>
    <n v="0.49"/>
    <n v="0"/>
    <x v="3"/>
    <x v="1"/>
    <x v="3"/>
  </r>
  <r>
    <x v="62"/>
    <n v="0.52"/>
    <n v="15"/>
    <n v="2.7"/>
    <n v="5"/>
    <n v="325"/>
    <n v="325"/>
    <n v="680"/>
    <n v="680"/>
    <x v="59"/>
    <n v="680"/>
    <n v="355"/>
    <n v="0.52200000000000002"/>
    <n v="2E-3"/>
    <x v="3"/>
    <x v="1"/>
    <x v="3"/>
  </r>
  <r>
    <x v="63"/>
    <n v="0.22"/>
    <n v="16"/>
    <n v="2.9"/>
    <n v="5"/>
    <n v="1220"/>
    <n v="1220"/>
    <n v="1555"/>
    <n v="1555"/>
    <x v="60"/>
    <n v="1555"/>
    <n v="335"/>
    <n v="0.215"/>
    <n v="-5.0000000000000001E-3"/>
    <x v="3"/>
    <x v="0"/>
    <x v="2"/>
  </r>
  <r>
    <x v="64"/>
    <n v="0.45"/>
    <n v="6"/>
    <n v="2.2000000000000002"/>
    <n v="5"/>
    <n v="990"/>
    <n v="990"/>
    <n v="1814"/>
    <n v="1814"/>
    <x v="11"/>
    <n v="1814"/>
    <n v="824"/>
    <n v="0.45400000000000001"/>
    <n v="4.0000000000000001E-3"/>
    <x v="3"/>
    <x v="1"/>
    <x v="0"/>
  </r>
  <r>
    <x v="65"/>
    <n v="0.5"/>
    <n v="7"/>
    <n v="2.2999999999999998"/>
    <n v="5"/>
    <n v="1000"/>
    <n v="1000"/>
    <n v="2000"/>
    <n v="2000"/>
    <x v="61"/>
    <n v="2000"/>
    <n v="1000"/>
    <n v="0.5"/>
    <n v="0"/>
    <x v="3"/>
    <x v="1"/>
    <x v="2"/>
  </r>
  <r>
    <x v="66"/>
    <n v="0.39"/>
    <n v="5"/>
    <n v="3"/>
    <n v="5"/>
    <n v="3750"/>
    <n v="3750"/>
    <n v="6143"/>
    <n v="6143"/>
    <x v="62"/>
    <n v="6143"/>
    <n v="2393"/>
    <n v="0.39"/>
    <n v="0"/>
    <x v="0"/>
    <x v="0"/>
    <x v="1"/>
  </r>
  <r>
    <x v="67"/>
    <n v="0.45"/>
    <n v="17"/>
    <n v="2.6"/>
    <n v="5"/>
    <n v="382"/>
    <n v="382"/>
    <n v="700"/>
    <n v="700"/>
    <x v="63"/>
    <n v="700"/>
    <n v="318"/>
    <n v="0.45400000000000001"/>
    <n v="4.0000000000000001E-3"/>
    <x v="3"/>
    <x v="1"/>
    <x v="3"/>
  </r>
  <r>
    <x v="68"/>
    <n v="0.28999999999999998"/>
    <n v="5"/>
    <n v="3"/>
    <n v="5"/>
    <n v="2300"/>
    <n v="2300"/>
    <n v="3240"/>
    <n v="3240"/>
    <x v="64"/>
    <n v="3240"/>
    <n v="940"/>
    <n v="0.28999999999999998"/>
    <n v="0"/>
    <x v="0"/>
    <x v="0"/>
    <x v="1"/>
  </r>
  <r>
    <x v="69"/>
    <n v="0.43"/>
    <n v="6"/>
    <n v="2.2999999999999998"/>
    <n v="5"/>
    <n v="345"/>
    <n v="345"/>
    <n v="602"/>
    <n v="602"/>
    <x v="65"/>
    <n v="602"/>
    <n v="257"/>
    <n v="0.42699999999999999"/>
    <n v="-3.0000000000000001E-3"/>
    <x v="3"/>
    <x v="1"/>
    <x v="3"/>
  </r>
  <r>
    <x v="70"/>
    <n v="0.43"/>
    <n v="5"/>
    <n v="3"/>
    <n v="5"/>
    <n v="509"/>
    <n v="509"/>
    <n v="899"/>
    <n v="899"/>
    <x v="66"/>
    <n v="899"/>
    <n v="390"/>
    <n v="0.434"/>
    <n v="4.0000000000000001E-3"/>
    <x v="0"/>
    <x v="1"/>
    <x v="0"/>
  </r>
  <r>
    <x v="71"/>
    <n v="0.47"/>
    <n v="6"/>
    <n v="2.2000000000000002"/>
    <n v="5"/>
    <n v="968"/>
    <n v="968"/>
    <n v="1814"/>
    <n v="1814"/>
    <x v="67"/>
    <n v="1814"/>
    <n v="846"/>
    <n v="0.46600000000000003"/>
    <n v="-4.0000000000000001E-3"/>
    <x v="3"/>
    <x v="1"/>
    <x v="0"/>
  </r>
  <r>
    <x v="72"/>
    <n v="0.47"/>
    <n v="7"/>
    <n v="2.1"/>
    <n v="5"/>
    <n v="1570"/>
    <n v="1570"/>
    <n v="2988"/>
    <n v="2988"/>
    <x v="68"/>
    <n v="2988"/>
    <n v="1418"/>
    <n v="0.47499999999999998"/>
    <n v="5.0000000000000001E-3"/>
    <x v="3"/>
    <x v="1"/>
    <x v="2"/>
  </r>
  <r>
    <x v="73"/>
    <n v="0.47"/>
    <m/>
    <m/>
    <m/>
    <n v="790"/>
    <n v="790"/>
    <n v="1485"/>
    <n v="1485"/>
    <x v="69"/>
    <n v="1485"/>
    <n v="695"/>
    <n v="0.46800000000000003"/>
    <n v="-2E-3"/>
    <x v="2"/>
    <x v="1"/>
    <x v="0"/>
  </r>
  <r>
    <x v="74"/>
    <n v="0.43"/>
    <m/>
    <m/>
    <m/>
    <n v="690"/>
    <n v="690"/>
    <n v="1200"/>
    <n v="1200"/>
    <x v="70"/>
    <n v="1200"/>
    <n v="510"/>
    <n v="0.42499999999999999"/>
    <n v="-5.0000000000000001E-3"/>
    <x v="2"/>
    <x v="1"/>
    <x v="0"/>
  </r>
  <r>
    <x v="75"/>
    <n v="0.04"/>
    <m/>
    <m/>
    <m/>
    <n v="1732"/>
    <n v="1732"/>
    <n v="1799"/>
    <n v="1799"/>
    <x v="71"/>
    <n v="1799"/>
    <n v="67"/>
    <n v="3.6999999999999998E-2"/>
    <n v="-3.0000000000000001E-3"/>
    <x v="2"/>
    <x v="2"/>
    <x v="1"/>
  </r>
  <r>
    <x v="76"/>
    <n v="0.49"/>
    <m/>
    <m/>
    <m/>
    <n v="230"/>
    <n v="230"/>
    <n v="450"/>
    <n v="450"/>
    <x v="72"/>
    <n v="450"/>
    <n v="220"/>
    <n v="0.48899999999999999"/>
    <n v="-1E-3"/>
    <x v="2"/>
    <x v="1"/>
    <x v="3"/>
  </r>
  <r>
    <x v="77"/>
    <n v="0.46"/>
    <n v="1"/>
    <n v="3"/>
    <n v="5"/>
    <n v="1189"/>
    <n v="1189"/>
    <n v="2199"/>
    <n v="2199"/>
    <x v="73"/>
    <n v="2199"/>
    <n v="1010"/>
    <n v="0.45900000000000002"/>
    <n v="-1E-3"/>
    <x v="0"/>
    <x v="1"/>
    <x v="2"/>
  </r>
  <r>
    <x v="78"/>
    <n v="0.49"/>
    <n v="1"/>
    <n v="5"/>
    <n v="5"/>
    <n v="979"/>
    <n v="979"/>
    <n v="1920"/>
    <n v="1920"/>
    <x v="74"/>
    <n v="1920"/>
    <n v="941"/>
    <n v="0.49"/>
    <n v="0"/>
    <x v="1"/>
    <x v="1"/>
    <x v="0"/>
  </r>
  <r>
    <x v="79"/>
    <n v="0.36"/>
    <m/>
    <m/>
    <m/>
    <n v="1460"/>
    <n v="1460"/>
    <n v="2290"/>
    <n v="2290"/>
    <x v="75"/>
    <n v="2290"/>
    <n v="830"/>
    <n v="0.36199999999999999"/>
    <n v="2E-3"/>
    <x v="2"/>
    <x v="0"/>
    <x v="2"/>
  </r>
  <r>
    <x v="80"/>
    <n v="0.02"/>
    <m/>
    <m/>
    <m/>
    <n v="1666"/>
    <n v="1666"/>
    <n v="1699"/>
    <n v="1699"/>
    <x v="76"/>
    <n v="1699"/>
    <n v="33"/>
    <n v="1.9E-2"/>
    <n v="-1E-3"/>
    <x v="2"/>
    <x v="2"/>
    <x v="2"/>
  </r>
  <r>
    <x v="81"/>
    <n v="0.49"/>
    <n v="1"/>
    <n v="4"/>
    <n v="5"/>
    <n v="330"/>
    <n v="330"/>
    <n v="647"/>
    <n v="647"/>
    <x v="77"/>
    <n v="647"/>
    <n v="317"/>
    <n v="0.49"/>
    <n v="0"/>
    <x v="0"/>
    <x v="1"/>
    <x v="3"/>
  </r>
  <r>
    <x v="48"/>
    <n v="0.49"/>
    <m/>
    <m/>
    <m/>
    <n v="176"/>
    <n v="176"/>
    <n v="345"/>
    <n v="345"/>
    <x v="78"/>
    <n v="345"/>
    <n v="169"/>
    <n v="0.49"/>
    <n v="0"/>
    <x v="2"/>
    <x v="1"/>
    <x v="3"/>
  </r>
  <r>
    <x v="82"/>
    <n v="0.14000000000000001"/>
    <m/>
    <m/>
    <m/>
    <n v="1466"/>
    <n v="1466"/>
    <n v="1699"/>
    <n v="1699"/>
    <x v="79"/>
    <n v="1699"/>
    <n v="233"/>
    <n v="0.13700000000000001"/>
    <n v="-3.0000000000000001E-3"/>
    <x v="2"/>
    <x v="2"/>
    <x v="2"/>
  </r>
  <r>
    <x v="83"/>
    <n v="0.49"/>
    <m/>
    <m/>
    <m/>
    <n v="274"/>
    <n v="274"/>
    <n v="537"/>
    <n v="537"/>
    <x v="80"/>
    <n v="537"/>
    <n v="263"/>
    <n v="0.49"/>
    <n v="0"/>
    <x v="2"/>
    <x v="1"/>
    <x v="3"/>
  </r>
  <r>
    <x v="84"/>
    <n v="0.11"/>
    <m/>
    <m/>
    <m/>
    <n v="799"/>
    <n v="799"/>
    <n v="900"/>
    <n v="900"/>
    <x v="10"/>
    <n v="900"/>
    <n v="101"/>
    <n v="0.112"/>
    <n v="2E-3"/>
    <x v="2"/>
    <x v="2"/>
    <x v="0"/>
  </r>
  <r>
    <x v="56"/>
    <n v="0.49"/>
    <m/>
    <m/>
    <m/>
    <n v="657"/>
    <n v="657"/>
    <n v="1288"/>
    <n v="1288"/>
    <x v="81"/>
    <n v="1288"/>
    <n v="631"/>
    <n v="0.49"/>
    <n v="0"/>
    <x v="2"/>
    <x v="1"/>
    <x v="0"/>
  </r>
  <r>
    <x v="85"/>
    <n v="0.14000000000000001"/>
    <m/>
    <m/>
    <m/>
    <n v="1468"/>
    <n v="1468"/>
    <n v="1699"/>
    <n v="1699"/>
    <x v="82"/>
    <n v="1699"/>
    <n v="231"/>
    <n v="0.13600000000000001"/>
    <n v="-4.0000000000000001E-3"/>
    <x v="2"/>
    <x v="2"/>
    <x v="2"/>
  </r>
  <r>
    <x v="86"/>
    <n v="0.43"/>
    <m/>
    <m/>
    <m/>
    <n v="630"/>
    <n v="630"/>
    <n v="1100"/>
    <n v="1100"/>
    <x v="83"/>
    <n v="1100"/>
    <n v="470"/>
    <n v="0.42699999999999999"/>
    <n v="-3.0000000000000001E-3"/>
    <x v="2"/>
    <x v="1"/>
    <x v="0"/>
  </r>
  <r>
    <x v="87"/>
    <n v="0.5"/>
    <m/>
    <m/>
    <m/>
    <n v="850"/>
    <n v="850"/>
    <n v="1700"/>
    <n v="1700"/>
    <x v="84"/>
    <n v="1700"/>
    <n v="850"/>
    <n v="0.5"/>
    <n v="0"/>
    <x v="2"/>
    <x v="1"/>
    <x v="0"/>
  </r>
  <r>
    <x v="88"/>
    <n v="0.48"/>
    <m/>
    <m/>
    <m/>
    <n v="1300"/>
    <n v="1300"/>
    <n v="2500"/>
    <n v="2500"/>
    <x v="85"/>
    <n v="2500"/>
    <n v="1200"/>
    <n v="0.48"/>
    <n v="0"/>
    <x v="2"/>
    <x v="1"/>
    <x v="2"/>
  </r>
  <r>
    <x v="89"/>
    <n v="0.48"/>
    <m/>
    <m/>
    <m/>
    <n v="105"/>
    <n v="105"/>
    <n v="200"/>
    <n v="200"/>
    <x v="86"/>
    <n v="200"/>
    <n v="95"/>
    <n v="0.47499999999999998"/>
    <n v="-5.0000000000000001E-3"/>
    <x v="2"/>
    <x v="1"/>
    <x v="3"/>
  </r>
  <r>
    <x v="90"/>
    <n v="0.47"/>
    <m/>
    <m/>
    <m/>
    <n v="899"/>
    <n v="899"/>
    <n v="1699"/>
    <n v="1699"/>
    <x v="87"/>
    <n v="1699"/>
    <n v="800"/>
    <n v="0.47099999999999997"/>
    <n v="1E-3"/>
    <x v="2"/>
    <x v="1"/>
    <x v="0"/>
  </r>
  <r>
    <x v="91"/>
    <n v="0.5"/>
    <m/>
    <m/>
    <m/>
    <n v="1200"/>
    <n v="1200"/>
    <n v="2400"/>
    <n v="2400"/>
    <x v="46"/>
    <n v="2400"/>
    <n v="1200"/>
    <n v="0.5"/>
    <n v="0"/>
    <x v="2"/>
    <x v="1"/>
    <x v="2"/>
  </r>
  <r>
    <x v="92"/>
    <n v="0.08"/>
    <m/>
    <m/>
    <m/>
    <n v="1526"/>
    <n v="1526"/>
    <n v="1660"/>
    <n v="1660"/>
    <x v="88"/>
    <n v="1660"/>
    <n v="134"/>
    <n v="8.1000000000000003E-2"/>
    <n v="1E-3"/>
    <x v="2"/>
    <x v="2"/>
    <x v="2"/>
  </r>
  <r>
    <x v="93"/>
    <n v="0.02"/>
    <m/>
    <m/>
    <m/>
    <n v="1462"/>
    <n v="1462"/>
    <n v="1499"/>
    <n v="1499"/>
    <x v="89"/>
    <n v="1499"/>
    <n v="37"/>
    <n v="2.5000000000000001E-2"/>
    <n v="5.0000000000000001E-3"/>
    <x v="2"/>
    <x v="2"/>
    <x v="2"/>
  </r>
  <r>
    <x v="94"/>
    <n v="0.49"/>
    <m/>
    <m/>
    <m/>
    <n v="248"/>
    <n v="248"/>
    <n v="486"/>
    <n v="486"/>
    <x v="90"/>
    <n v="486"/>
    <n v="238"/>
    <n v="0.49"/>
    <n v="0"/>
    <x v="2"/>
    <x v="1"/>
    <x v="3"/>
  </r>
  <r>
    <x v="95"/>
    <n v="0.04"/>
    <m/>
    <m/>
    <m/>
    <n v="3546"/>
    <n v="3546"/>
    <n v="3699"/>
    <n v="3699"/>
    <x v="91"/>
    <n v="3699"/>
    <n v="153"/>
    <n v="4.1000000000000002E-2"/>
    <n v="1E-3"/>
    <x v="2"/>
    <x v="2"/>
    <x v="1"/>
  </r>
  <r>
    <x v="96"/>
    <n v="0.49"/>
    <m/>
    <m/>
    <m/>
    <n v="525"/>
    <n v="525"/>
    <n v="1029"/>
    <n v="1029"/>
    <x v="92"/>
    <n v="1029"/>
    <n v="504"/>
    <n v="0.49"/>
    <n v="0"/>
    <x v="2"/>
    <x v="1"/>
    <x v="0"/>
  </r>
  <r>
    <x v="97"/>
    <n v="0.42"/>
    <m/>
    <m/>
    <m/>
    <n v="1080"/>
    <n v="1080"/>
    <n v="1874"/>
    <n v="1874"/>
    <x v="93"/>
    <n v="1874"/>
    <n v="794"/>
    <n v="0.42399999999999999"/>
    <n v="4.0000000000000001E-3"/>
    <x v="2"/>
    <x v="1"/>
    <x v="2"/>
  </r>
  <r>
    <x v="98"/>
    <n v="0.21"/>
    <n v="1"/>
    <n v="5"/>
    <n v="5"/>
    <n v="3640"/>
    <n v="3640"/>
    <n v="4588"/>
    <n v="4588"/>
    <x v="94"/>
    <n v="4588"/>
    <n v="948"/>
    <n v="0.20699999999999999"/>
    <n v="-3.0000000000000001E-3"/>
    <x v="1"/>
    <x v="0"/>
    <x v="1"/>
  </r>
  <r>
    <x v="99"/>
    <n v="0.41"/>
    <m/>
    <m/>
    <m/>
    <n v="1420"/>
    <n v="1420"/>
    <n v="2420"/>
    <n v="2420"/>
    <x v="95"/>
    <n v="2420"/>
    <n v="1000"/>
    <n v="0.41299999999999998"/>
    <n v="3.0000000000000001E-3"/>
    <x v="2"/>
    <x v="1"/>
    <x v="2"/>
  </r>
  <r>
    <x v="100"/>
    <n v="0.01"/>
    <m/>
    <m/>
    <m/>
    <n v="1875"/>
    <n v="1875"/>
    <n v="1899"/>
    <n v="1899"/>
    <x v="96"/>
    <n v="1899"/>
    <n v="24"/>
    <n v="1.2999999999999999E-2"/>
    <n v="3.0000000000000001E-3"/>
    <x v="2"/>
    <x v="2"/>
    <x v="1"/>
  </r>
  <r>
    <x v="101"/>
    <n v="0.24"/>
    <m/>
    <m/>
    <m/>
    <n v="198"/>
    <n v="198"/>
    <n v="260"/>
    <n v="260"/>
    <x v="97"/>
    <n v="260"/>
    <n v="62"/>
    <n v="0.23799999999999999"/>
    <n v="-2E-3"/>
    <x v="2"/>
    <x v="0"/>
    <x v="3"/>
  </r>
  <r>
    <x v="102"/>
    <n v="0.34"/>
    <m/>
    <m/>
    <m/>
    <n v="1150"/>
    <n v="1150"/>
    <n v="1737"/>
    <n v="1737"/>
    <x v="98"/>
    <n v="1737"/>
    <n v="587"/>
    <n v="0.33800000000000002"/>
    <n v="-2E-3"/>
    <x v="2"/>
    <x v="0"/>
    <x v="2"/>
  </r>
  <r>
    <x v="103"/>
    <n v="0.34"/>
    <m/>
    <m/>
    <m/>
    <n v="1190"/>
    <n v="1190"/>
    <n v="1810"/>
    <n v="1810"/>
    <x v="44"/>
    <n v="1810"/>
    <n v="620"/>
    <n v="0.34300000000000003"/>
    <n v="3.0000000000000001E-3"/>
    <x v="2"/>
    <x v="0"/>
    <x v="2"/>
  </r>
  <r>
    <x v="104"/>
    <n v="0.02"/>
    <m/>
    <m/>
    <m/>
    <n v="1658"/>
    <n v="1658"/>
    <n v="1699"/>
    <n v="1699"/>
    <x v="99"/>
    <n v="1699"/>
    <n v="41"/>
    <n v="2.4E-2"/>
    <n v="4.0000000000000001E-3"/>
    <x v="2"/>
    <x v="2"/>
    <x v="2"/>
  </r>
  <r>
    <x v="105"/>
    <n v="0.02"/>
    <m/>
    <m/>
    <m/>
    <n v="1768"/>
    <n v="1768"/>
    <n v="1799"/>
    <n v="1799"/>
    <x v="100"/>
    <n v="1799"/>
    <n v="31"/>
    <n v="1.7000000000000001E-2"/>
    <n v="-3.0000000000000001E-3"/>
    <x v="2"/>
    <x v="2"/>
    <x v="1"/>
  </r>
  <r>
    <x v="106"/>
    <n v="0.64"/>
    <m/>
    <m/>
    <m/>
    <n v="199"/>
    <n v="199"/>
    <n v="553"/>
    <n v="553"/>
    <x v="47"/>
    <n v="553"/>
    <n v="354"/>
    <n v="0.64"/>
    <n v="0"/>
    <x v="2"/>
    <x v="1"/>
    <x v="3"/>
  </r>
  <r>
    <x v="107"/>
    <n v="0.5"/>
    <n v="1"/>
    <n v="2"/>
    <n v="5"/>
    <n v="450"/>
    <n v="450"/>
    <n v="900"/>
    <n v="900"/>
    <x v="101"/>
    <n v="900"/>
    <n v="450"/>
    <n v="0.5"/>
    <n v="0"/>
    <x v="3"/>
    <x v="1"/>
    <x v="3"/>
  </r>
  <r>
    <x v="108"/>
    <n v="0.47"/>
    <m/>
    <m/>
    <m/>
    <n v="169"/>
    <n v="169"/>
    <n v="320"/>
    <n v="320"/>
    <x v="102"/>
    <n v="320"/>
    <n v="151"/>
    <n v="0.47199999999999998"/>
    <n v="2E-3"/>
    <x v="2"/>
    <x v="1"/>
    <x v="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8.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9.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0.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ount Category">
  <location ref="A103:B107"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axis="axisRow" showAll="0">
      <items count="4">
        <item x="1"/>
        <item x="2"/>
        <item x="0"/>
        <item t="default"/>
      </items>
    </pivotField>
    <pivotField showAll="0">
      <items count="5">
        <item x="2"/>
        <item x="3"/>
        <item x="0"/>
        <item x="1"/>
        <item t="default"/>
      </items>
    </pivotField>
  </pivotFields>
  <rowFields count="1">
    <field x="15"/>
  </rowFields>
  <rowItems count="4">
    <i>
      <x/>
    </i>
    <i>
      <x v="1"/>
    </i>
    <i>
      <x v="2"/>
    </i>
    <i t="grand">
      <x/>
    </i>
  </rowItems>
  <colItems count="1">
    <i/>
  </colItems>
  <dataFields count="1">
    <dataField name="Count of product"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name="Rating_Band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ating Bands">
  <location ref="A83:B88" firstHeaderRow="1" firstDataRow="1" firstDataCol="1"/>
  <pivotFields count="17">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60"/>
        <item x="28"/>
        <item x="34"/>
        <item x="33"/>
        <item x="79"/>
        <item x="106"/>
        <item x="90"/>
        <item x="45"/>
        <item x="71"/>
        <item x="76"/>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52"/>
        <item x="14"/>
        <item x="86"/>
        <item x="29"/>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Fields count="1">
    <field x="14"/>
  </rowFields>
  <rowItems count="5">
    <i>
      <x/>
    </i>
    <i>
      <x v="1"/>
    </i>
    <i>
      <x v="2"/>
    </i>
    <i>
      <x v="3"/>
    </i>
    <i t="grand">
      <x/>
    </i>
  </rowItems>
  <colItems count="1">
    <i/>
  </colItems>
  <dataFields count="1">
    <dataField name="Count of product"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name="Price_Rating"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urrent_Price_vs_Rating">
  <location ref="G8:H18" firstHeaderRow="1" firstDataRow="1" firstDataCol="1"/>
  <pivotFields count="17">
    <pivotField showAll="0"/>
    <pivotField showAll="0"/>
    <pivotField showAll="0"/>
    <pivotField dataField="1" showAll="0"/>
    <pivotField showAll="0"/>
    <pivotField showAll="0"/>
    <pivotField showAll="0"/>
    <pivotField showAll="0"/>
    <pivotField showAll="0"/>
    <pivotField axis="axisRow" showAll="0" measureFilter="1" sortType="descending">
      <items count="104">
        <item x="62"/>
        <item x="94"/>
        <item x="91"/>
        <item x="5"/>
        <item x="25"/>
        <item x="53"/>
        <item x="38"/>
        <item x="6"/>
        <item x="64"/>
        <item x="28"/>
        <item x="2"/>
        <item x="55"/>
        <item x="42"/>
        <item x="57"/>
        <item x="23"/>
        <item x="17"/>
        <item x="33"/>
        <item x="32"/>
        <item x="96"/>
        <item x="20"/>
        <item x="31"/>
        <item x="37"/>
        <item x="100"/>
        <item x="27"/>
        <item x="4"/>
        <item x="71"/>
        <item x="14"/>
        <item x="76"/>
        <item x="49"/>
        <item x="99"/>
        <item x="22"/>
        <item x="34"/>
        <item x="9"/>
        <item x="3"/>
        <item x="68"/>
        <item x="88"/>
        <item x="82"/>
        <item x="79"/>
        <item x="89"/>
        <item x="75"/>
        <item x="50"/>
        <item x="95"/>
        <item x="26"/>
        <item x="85"/>
        <item x="8"/>
        <item x="60"/>
        <item x="46"/>
        <item x="44"/>
        <item x="73"/>
        <item x="98"/>
        <item x="93"/>
        <item x="61"/>
        <item x="43"/>
        <item x="18"/>
        <item x="11"/>
        <item x="7"/>
        <item x="30"/>
        <item x="74"/>
        <item x="67"/>
        <item x="0"/>
        <item x="87"/>
        <item x="21"/>
        <item x="84"/>
        <item x="10"/>
        <item x="69"/>
        <item x="52"/>
        <item x="70"/>
        <item x="45"/>
        <item x="81"/>
        <item x="83"/>
        <item x="41"/>
        <item x="12"/>
        <item x="1"/>
        <item x="92"/>
        <item x="66"/>
        <item x="13"/>
        <item x="51"/>
        <item x="39"/>
        <item x="56"/>
        <item x="101"/>
        <item x="58"/>
        <item x="24"/>
        <item x="54"/>
        <item x="36"/>
        <item x="63"/>
        <item x="65"/>
        <item x="15"/>
        <item x="77"/>
        <item x="59"/>
        <item x="48"/>
        <item x="80"/>
        <item x="90"/>
        <item x="40"/>
        <item x="72"/>
        <item x="47"/>
        <item x="97"/>
        <item x="16"/>
        <item x="29"/>
        <item x="78"/>
        <item x="35"/>
        <item x="102"/>
        <item x="8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Fields count="1">
    <field x="9"/>
  </rowFields>
  <rowItems count="10">
    <i>
      <x v="99"/>
    </i>
    <i>
      <x v="86"/>
    </i>
    <i>
      <x v="57"/>
    </i>
    <i>
      <x v="15"/>
    </i>
    <i>
      <x v="96"/>
    </i>
    <i>
      <x v="31"/>
    </i>
    <i>
      <x v="1"/>
    </i>
    <i>
      <x v="71"/>
    </i>
    <i>
      <x v="24"/>
    </i>
    <i>
      <x v="44"/>
    </i>
  </rowItems>
  <colItems count="1">
    <i/>
  </colItems>
  <dataFields count="1">
    <dataField name="Average of rating" fld="3" subtotal="average" baseField="0" baseItem="0"/>
  </dataFields>
  <formats count="5">
    <format dxfId="1560">
      <pivotArea type="all" dataOnly="0" outline="0" fieldPosition="0"/>
    </format>
    <format dxfId="1559">
      <pivotArea outline="0" collapsedLevelsAreSubtotals="1" fieldPosition="0"/>
    </format>
    <format dxfId="1558">
      <pivotArea field="9" type="button" dataOnly="0" labelOnly="1" outline="0" axis="axisRow" fieldPosition="0"/>
    </format>
    <format dxfId="1557">
      <pivotArea dataOnly="0" labelOnly="1" fieldPosition="0">
        <references count="1">
          <reference field="9" count="10">
            <x v="1"/>
            <x v="15"/>
            <x v="24"/>
            <x v="31"/>
            <x v="44"/>
            <x v="57"/>
            <x v="71"/>
            <x v="86"/>
            <x v="96"/>
            <x v="99"/>
          </reference>
        </references>
      </pivotArea>
    </format>
    <format dxfId="1556">
      <pivotArea dataOnly="0" labelOnly="1" outline="0" axis="axisValues" fieldPosition="0"/>
    </format>
  </formats>
  <pivotTableStyleInfo name="PivotStyleLight16" showRowHeaders="1" showColHeaders="1" showRowStripes="0" showColStripes="0" showLastColumn="1"/>
  <filters count="1">
    <filter fld="9" type="count" evalOrder="-1" id="2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name="Top10_products_rating"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location ref="G38:H48" firstHeaderRow="1" firstDataRow="1" firstDataCol="1"/>
  <pivotFields count="17">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60"/>
        <item x="28"/>
        <item x="34"/>
        <item x="33"/>
        <item x="79"/>
        <item x="106"/>
        <item x="90"/>
        <item x="45"/>
        <item x="71"/>
        <item x="76"/>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52"/>
        <item x="14"/>
        <item x="86"/>
        <item x="29"/>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Fields count="1">
    <field x="0"/>
  </rowFields>
  <rowItems count="10">
    <i>
      <x v="52"/>
    </i>
    <i>
      <x v="68"/>
    </i>
    <i>
      <x v="65"/>
    </i>
    <i>
      <x v="40"/>
    </i>
    <i>
      <x v="87"/>
    </i>
    <i>
      <x v="44"/>
    </i>
    <i>
      <x v="57"/>
    </i>
    <i>
      <x v="70"/>
    </i>
    <i>
      <x v="90"/>
    </i>
    <i>
      <x v="22"/>
    </i>
  </rowItems>
  <colItems count="1">
    <i/>
  </colItems>
  <dataFields count="1">
    <dataField name="Average of rating" fld="3" subtotal="average" baseField="0" baseItem="0"/>
  </dataFields>
  <formats count="2">
    <format dxfId="1550">
      <pivotArea outline="0" collapsedLevelsAreSubtotals="1" fieldPosition="0"/>
    </format>
    <format dxfId="1549">
      <pivotArea dataOnly="0" labelOnly="1" outline="0" axis="axisValues" fieldPosition="0"/>
    </format>
  </formats>
  <pivotTableStyleInfo name="PivotStyleLight16" showRowHeaders="1" showColHeaders="1" showRowStripes="0" showColStripes="0" showLastColumn="1"/>
  <filters count="1">
    <filter fld="0"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name="Top_10_products_review"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location ref="A41:B51" firstHeaderRow="1" firstDataRow="1" firstDataCol="1"/>
  <pivotFields count="17">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60"/>
        <item x="28"/>
        <item x="34"/>
        <item x="33"/>
        <item x="79"/>
        <item x="106"/>
        <item x="90"/>
        <item x="45"/>
        <item x="71"/>
        <item x="76"/>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52"/>
        <item x="14"/>
        <item x="86"/>
        <item x="29"/>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Fields count="1">
    <field x="0"/>
  </rowFields>
  <rowItems count="10">
    <i>
      <x v="5"/>
    </i>
    <i>
      <x v="8"/>
    </i>
    <i>
      <x v="59"/>
    </i>
    <i>
      <x v="18"/>
    </i>
    <i>
      <x v="1"/>
    </i>
    <i>
      <x v="95"/>
    </i>
    <i>
      <x v="28"/>
    </i>
    <i>
      <x v="91"/>
    </i>
    <i>
      <x v="29"/>
    </i>
    <i>
      <x v="27"/>
    </i>
  </rowItems>
  <colItems count="1">
    <i/>
  </colItems>
  <dataFields count="1">
    <dataField name="Sum of review" fld="2" baseField="0" baseItem="0"/>
  </dataFields>
  <pivotTableStyleInfo name="PivotStyleLight16" showRowHeaders="1" showColHeaders="1" showRowStripes="0" showColStripes="0" showLastColumn="1"/>
  <filters count="1">
    <filter fld="0" type="count" evalOrder="-1" id="2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name="Top_10_Products_Discount"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location ref="A23:B33" firstHeaderRow="1" firstDataRow="1" firstDataCol="1"/>
  <pivotFields count="17">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60"/>
        <item x="28"/>
        <item x="34"/>
        <item x="33"/>
        <item x="79"/>
        <item x="106"/>
        <item x="90"/>
        <item x="45"/>
        <item x="71"/>
        <item x="76"/>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52"/>
        <item x="14"/>
        <item x="86"/>
        <item x="29"/>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Fields count="1">
    <field x="0"/>
  </rowFields>
  <rowItems count="10">
    <i>
      <x v="31"/>
    </i>
    <i>
      <x v="70"/>
    </i>
    <i>
      <x v="26"/>
    </i>
    <i>
      <x v="53"/>
    </i>
    <i>
      <x v="67"/>
    </i>
    <i>
      <x v="84"/>
    </i>
    <i>
      <x v="52"/>
    </i>
    <i>
      <x v="20"/>
    </i>
    <i>
      <x v="60"/>
    </i>
    <i>
      <x v="64"/>
    </i>
  </rowItems>
  <colItems count="1">
    <i/>
  </colItems>
  <dataFields count="1">
    <dataField name="Average of discount" fld="1" subtotal="average" baseField="0" baseItem="0"/>
  </dataFields>
  <formats count="5">
    <format dxfId="1555">
      <pivotArea type="all" dataOnly="0" outline="0" fieldPosition="0"/>
    </format>
    <format dxfId="1554">
      <pivotArea field="0" type="button" dataOnly="0" labelOnly="1" outline="0" axis="axisRow" fieldPosition="0"/>
    </format>
    <format dxfId="1553">
      <pivotArea dataOnly="0" labelOnly="1" fieldPosition="0">
        <references count="1">
          <reference field="0" count="10">
            <x v="20"/>
            <x v="26"/>
            <x v="31"/>
            <x v="52"/>
            <x v="53"/>
            <x v="60"/>
            <x v="64"/>
            <x v="67"/>
            <x v="70"/>
            <x v="84"/>
          </reference>
        </references>
      </pivotArea>
    </format>
    <format dxfId="1552">
      <pivotArea outline="0" collapsedLevelsAreSubtotals="1" fieldPosition="0"/>
    </format>
    <format dxfId="1551">
      <pivotArea dataOnly="0" labelOnly="1" outline="0" axis="axisValues" fieldPosition="0"/>
    </format>
  </formats>
  <pivotTableStyleInfo name="PivotStyleLight16" showRowHeaders="1" showColHeaders="1" showRowStripes="0" showColStripes="0" showLastColumn="1"/>
  <filters count="1">
    <filter fld="0" type="count" evalOrder="-1" id="1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name="Main_Pivot"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60"/>
        <item x="28"/>
        <item x="34"/>
        <item x="33"/>
        <item x="79"/>
        <item x="106"/>
        <item x="90"/>
        <item x="45"/>
        <item x="71"/>
        <item x="76"/>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52"/>
        <item x="14"/>
        <item x="86"/>
        <item x="29"/>
        <item x="59"/>
        <item x="82"/>
        <item x="84"/>
        <item x="16"/>
        <item x="50"/>
        <item x="51"/>
        <item x="4"/>
        <item x="2"/>
        <item x="93"/>
        <item x="26"/>
        <item x="88"/>
        <item x="37"/>
        <item x="89"/>
        <item x="43"/>
        <item x="104"/>
        <item x="54"/>
        <item x="105"/>
        <item x="63"/>
        <item x="87"/>
        <item x="92"/>
        <item x="107"/>
        <item x="85"/>
        <item x="69"/>
        <item x="3"/>
        <item x="70"/>
        <item t="default"/>
      </items>
    </pivotField>
    <pivotField dataField="1" showAll="0"/>
    <pivotField dataField="1" showAll="0"/>
    <pivotField dataField="1" showAll="0"/>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Items count="1">
    <i/>
  </rowItems>
  <colFields count="1">
    <field x="-2"/>
  </colFields>
  <colItems count="5">
    <i>
      <x/>
    </i>
    <i i="1">
      <x v="1"/>
    </i>
    <i i="2">
      <x v="2"/>
    </i>
    <i i="3">
      <x v="3"/>
    </i>
    <i i="4">
      <x v="4"/>
    </i>
  </colItems>
  <dataFields count="5">
    <dataField name="Total products" fld="0" subtotal="count" baseField="0" baseItem="0"/>
    <dataField name="Average Price" fld="9" subtotal="average" baseField="0" baseItem="0" numFmtId="164"/>
    <dataField name="Average discount" fld="1" subtotal="average" baseField="0" baseItem="0"/>
    <dataField name="Average rating" fld="3" subtotal="average" baseField="0" baseItem="0" numFmtId="4"/>
    <dataField name="Total reviews" fld="2" baseField="0" baseItem="0"/>
  </dataFields>
  <formats count="7">
    <format dxfId="1563">
      <pivotArea dataOnly="0" outline="0" fieldPosition="0">
        <references count="1">
          <reference field="4294967294" count="1">
            <x v="2"/>
          </reference>
        </references>
      </pivotArea>
    </format>
    <format dxfId="1564">
      <pivotArea dataOnly="0" labelOnly="1" outline="0" fieldPosition="0">
        <references count="1">
          <reference field="4294967294" count="1">
            <x v="3"/>
          </reference>
        </references>
      </pivotArea>
    </format>
    <format dxfId="1565">
      <pivotArea outline="0" fieldPosition="0">
        <references count="1">
          <reference field="4294967294" count="1">
            <x v="3"/>
          </reference>
        </references>
      </pivotArea>
    </format>
    <format dxfId="1566">
      <pivotArea dataOnly="0" labelOnly="1" outline="0" fieldPosition="0">
        <references count="1">
          <reference field="4294967294" count="1">
            <x v="1"/>
          </reference>
        </references>
      </pivotArea>
    </format>
    <format dxfId="1567">
      <pivotArea outline="0" fieldPosition="0">
        <references count="1">
          <reference field="4294967294" count="1">
            <x v="1"/>
          </reference>
        </references>
      </pivotArea>
    </format>
    <format dxfId="1562">
      <pivotArea dataOnly="0" labelOnly="1" outline="0" fieldPosition="0">
        <references count="1">
          <reference field="4294967294" count="5">
            <x v="0"/>
            <x v="1"/>
            <x v="2"/>
            <x v="3"/>
            <x v="4"/>
          </reference>
        </references>
      </pivotArea>
    </format>
    <format dxfId="15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purl.oclc.org/ooxml/spreadsheetml/main" name="PivotTable16" cacheId="19"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Product">
  <location ref="H9:I19" firstHeaderRow="1" firstDataRow="1" firstDataCol="1"/>
  <pivotFields count="17">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60"/>
        <item x="28"/>
        <item x="34"/>
        <item x="33"/>
        <item x="79"/>
        <item x="106"/>
        <item x="90"/>
        <item x="45"/>
        <item x="71"/>
        <item x="76"/>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52"/>
        <item x="14"/>
        <item x="86"/>
        <item x="29"/>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Fields count="1">
    <field x="0"/>
  </rowFields>
  <rowItems count="10">
    <i>
      <x v="52"/>
    </i>
    <i>
      <x v="68"/>
    </i>
    <i>
      <x v="65"/>
    </i>
    <i>
      <x v="40"/>
    </i>
    <i>
      <x v="87"/>
    </i>
    <i>
      <x v="44"/>
    </i>
    <i>
      <x v="57"/>
    </i>
    <i>
      <x v="70"/>
    </i>
    <i>
      <x v="90"/>
    </i>
    <i>
      <x v="22"/>
    </i>
  </rowItems>
  <colItems count="1">
    <i/>
  </colItems>
  <dataFields count="1">
    <dataField name="Average of rating" fld="3" subtotal="average" baseField="0" baseItem="0"/>
  </dataFields>
  <formats count="10">
    <format dxfId="223">
      <pivotArea type="all" dataOnly="0" outline="0" fieldPosition="0"/>
    </format>
    <format dxfId="222">
      <pivotArea outline="0" collapsedLevelsAreSubtotals="1" fieldPosition="0"/>
    </format>
    <format dxfId="221">
      <pivotArea field="0" type="button" dataOnly="0" labelOnly="1" outline="0" axis="axisRow" fieldPosition="0"/>
    </format>
    <format dxfId="220">
      <pivotArea dataOnly="0" labelOnly="1" fieldPosition="0">
        <references count="1">
          <reference field="0" count="10">
            <x v="22"/>
            <x v="40"/>
            <x v="44"/>
            <x v="52"/>
            <x v="57"/>
            <x v="65"/>
            <x v="68"/>
            <x v="70"/>
            <x v="87"/>
            <x v="90"/>
          </reference>
        </references>
      </pivotArea>
    </format>
    <format dxfId="219">
      <pivotArea dataOnly="0" labelOnly="1" outline="0" axis="axisValues" fieldPosition="0"/>
    </format>
    <format dxfId="217">
      <pivotArea type="all" dataOnly="0" outline="0" fieldPosition="0"/>
    </format>
    <format dxfId="216">
      <pivotArea outline="0" collapsedLevelsAreSubtotals="1" fieldPosition="0"/>
    </format>
    <format dxfId="215">
      <pivotArea field="0" type="button" dataOnly="0" labelOnly="1" outline="0" axis="axisRow" fieldPosition="0"/>
    </format>
    <format dxfId="214">
      <pivotArea dataOnly="0" labelOnly="1" fieldPosition="0">
        <references count="1">
          <reference field="0" count="10">
            <x v="22"/>
            <x v="40"/>
            <x v="44"/>
            <x v="52"/>
            <x v="57"/>
            <x v="65"/>
            <x v="68"/>
            <x v="70"/>
            <x v="87"/>
            <x v="90"/>
          </reference>
        </references>
      </pivotArea>
    </format>
    <format dxfId="213">
      <pivotArea dataOnly="0" labelOnly="1" outline="0" axis="axisValues" fieldPosition="0"/>
    </format>
  </formats>
  <pivotTableStyleInfo name="PivotStyleLight16" showRowHeaders="1" showColHeaders="1" showRowStripes="0" showColStripes="0" showLastColumn="1"/>
  <filters count="1">
    <filter fld="0"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purl.oclc.org/ooxml/spreadsheetml/main" name="PivotTable15" cacheId="19"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Product">
  <location ref="E9:F19" firstHeaderRow="1" firstDataRow="1" firstDataCol="1"/>
  <pivotFields count="17">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60"/>
        <item x="28"/>
        <item x="34"/>
        <item x="33"/>
        <item x="79"/>
        <item x="106"/>
        <item x="90"/>
        <item x="45"/>
        <item x="71"/>
        <item x="76"/>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52"/>
        <item x="14"/>
        <item x="86"/>
        <item x="29"/>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Fields count="1">
    <field x="0"/>
  </rowFields>
  <rowItems count="10">
    <i>
      <x v="5"/>
    </i>
    <i>
      <x v="8"/>
    </i>
    <i>
      <x v="59"/>
    </i>
    <i>
      <x v="18"/>
    </i>
    <i>
      <x v="1"/>
    </i>
    <i>
      <x v="95"/>
    </i>
    <i>
      <x v="28"/>
    </i>
    <i>
      <x v="91"/>
    </i>
    <i>
      <x v="29"/>
    </i>
    <i>
      <x v="27"/>
    </i>
  </rowItems>
  <colItems count="1">
    <i/>
  </colItems>
  <dataFields count="1">
    <dataField name="Sum of review" fld="2" baseField="0" baseItem="0"/>
  </dataFields>
  <formats count="13">
    <format dxfId="1547">
      <pivotArea field="0" type="button" dataOnly="0" labelOnly="1" outline="0" axis="axisRow" fieldPosition="0"/>
    </format>
    <format dxfId="1546">
      <pivotArea outline="0" collapsedLevelsAreSubtotals="1" fieldPosition="0"/>
    </format>
    <format dxfId="1545">
      <pivotArea dataOnly="0" labelOnly="1" outline="0" axis="axisValues" fieldPosition="0"/>
    </format>
    <format dxfId="1525">
      <pivotArea type="all" dataOnly="0" outline="0" fieldPosition="0"/>
    </format>
    <format dxfId="1524">
      <pivotArea outline="0" collapsedLevelsAreSubtotals="1" fieldPosition="0"/>
    </format>
    <format dxfId="1523">
      <pivotArea field="0" type="button" dataOnly="0" labelOnly="1" outline="0" axis="axisRow" fieldPosition="0"/>
    </format>
    <format dxfId="1522">
      <pivotArea dataOnly="0" labelOnly="1" fieldPosition="0">
        <references count="1">
          <reference field="0" count="10">
            <x v="1"/>
            <x v="5"/>
            <x v="8"/>
            <x v="18"/>
            <x v="27"/>
            <x v="28"/>
            <x v="29"/>
            <x v="59"/>
            <x v="91"/>
            <x v="95"/>
          </reference>
        </references>
      </pivotArea>
    </format>
    <format dxfId="1521">
      <pivotArea dataOnly="0" labelOnly="1" outline="0" axis="axisValues" fieldPosition="0"/>
    </format>
    <format dxfId="1519">
      <pivotArea type="all" dataOnly="0" outline="0" fieldPosition="0"/>
    </format>
    <format dxfId="1518">
      <pivotArea outline="0" collapsedLevelsAreSubtotals="1" fieldPosition="0"/>
    </format>
    <format dxfId="1517">
      <pivotArea field="0" type="button" dataOnly="0" labelOnly="1" outline="0" axis="axisRow" fieldPosition="0"/>
    </format>
    <format dxfId="1516">
      <pivotArea dataOnly="0" labelOnly="1" fieldPosition="0">
        <references count="1">
          <reference field="0" count="10">
            <x v="1"/>
            <x v="5"/>
            <x v="8"/>
            <x v="18"/>
            <x v="27"/>
            <x v="28"/>
            <x v="29"/>
            <x v="59"/>
            <x v="91"/>
            <x v="95"/>
          </reference>
        </references>
      </pivotArea>
    </format>
    <format dxfId="1515">
      <pivotArea dataOnly="0" labelOnly="1" outline="0" axis="axisValues" fieldPosition="0"/>
    </format>
  </formats>
  <pivotTableStyleInfo name="PivotStyleLight16" showRowHeaders="1" showColHeaders="1" showRowStripes="0" showColStripes="0" showLastColumn="1"/>
  <filters count="1">
    <filter fld="0" type="count" evalOrder="-1" id="2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purl.oclc.org/ooxml/spreadsheetml/main" name="PivotTable14" cacheId="19"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Product">
  <location ref="B9:C19" firstHeaderRow="1" firstDataRow="1" firstDataCol="1"/>
  <pivotFields count="17">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60"/>
        <item x="28"/>
        <item x="34"/>
        <item x="33"/>
        <item x="79"/>
        <item x="106"/>
        <item x="90"/>
        <item x="45"/>
        <item x="71"/>
        <item x="76"/>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52"/>
        <item x="14"/>
        <item x="86"/>
        <item x="29"/>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5">
        <item x="2"/>
        <item x="3"/>
        <item x="0"/>
        <item x="1"/>
        <item t="default"/>
      </items>
    </pivotField>
  </pivotFields>
  <rowFields count="1">
    <field x="0"/>
  </rowFields>
  <rowItems count="10">
    <i>
      <x v="31"/>
    </i>
    <i>
      <x v="70"/>
    </i>
    <i>
      <x v="26"/>
    </i>
    <i>
      <x v="53"/>
    </i>
    <i>
      <x v="67"/>
    </i>
    <i>
      <x v="84"/>
    </i>
    <i>
      <x v="52"/>
    </i>
    <i>
      <x v="20"/>
    </i>
    <i>
      <x v="60"/>
    </i>
    <i>
      <x v="64"/>
    </i>
  </rowItems>
  <colItems count="1">
    <i/>
  </colItems>
  <dataFields count="1">
    <dataField name="Average of discount" fld="1" subtotal="average" baseField="0" baseItem="0"/>
  </dataFields>
  <formats count="11">
    <format dxfId="1548">
      <pivotArea outline="0" collapsedLevelsAreSubtotals="1" fieldPosition="0"/>
    </format>
    <format dxfId="1537">
      <pivotArea type="all" dataOnly="0" outline="0" fieldPosition="0"/>
    </format>
    <format dxfId="1536">
      <pivotArea outline="0" collapsedLevelsAreSubtotals="1" fieldPosition="0"/>
    </format>
    <format dxfId="1535">
      <pivotArea field="0" type="button" dataOnly="0" labelOnly="1" outline="0" axis="axisRow" fieldPosition="0"/>
    </format>
    <format dxfId="1534">
      <pivotArea dataOnly="0" labelOnly="1" fieldPosition="0">
        <references count="1">
          <reference field="0" count="10">
            <x v="20"/>
            <x v="26"/>
            <x v="31"/>
            <x v="52"/>
            <x v="53"/>
            <x v="60"/>
            <x v="64"/>
            <x v="67"/>
            <x v="70"/>
            <x v="84"/>
          </reference>
        </references>
      </pivotArea>
    </format>
    <format dxfId="1533">
      <pivotArea dataOnly="0" labelOnly="1" outline="0" axis="axisValues" fieldPosition="0"/>
    </format>
    <format dxfId="1531">
      <pivotArea type="all" dataOnly="0" outline="0" fieldPosition="0"/>
    </format>
    <format dxfId="1530">
      <pivotArea outline="0" collapsedLevelsAreSubtotals="1" fieldPosition="0"/>
    </format>
    <format dxfId="1529">
      <pivotArea field="0" type="button" dataOnly="0" labelOnly="1" outline="0" axis="axisRow" fieldPosition="0"/>
    </format>
    <format dxfId="1528">
      <pivotArea dataOnly="0" labelOnly="1" fieldPosition="0">
        <references count="1">
          <reference field="0" count="10">
            <x v="20"/>
            <x v="26"/>
            <x v="31"/>
            <x v="52"/>
            <x v="53"/>
            <x v="60"/>
            <x v="64"/>
            <x v="67"/>
            <x v="70"/>
            <x v="84"/>
          </reference>
        </references>
      </pivotArea>
    </format>
    <format dxfId="1527">
      <pivotArea dataOnly="0" labelOnly="1" outline="0" axis="axisValues" fieldPosition="0"/>
    </format>
  </formats>
  <pivotTableStyleInfo name="PivotStyleLight16" showRowHeaders="1" showColHeaders="1" showRowStripes="0" showColStripes="0" showLastColumn="1"/>
  <filters count="1">
    <filter fld="0" type="count" evalOrder="-1" id="1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mc:Ignorable="x" name="Slicer_rating_category" sourceName="rating_category">
  <pivotTables>
    <pivotTable tabId="4" name="Main_Pivot"/>
    <pivotTable tabId="4" name="Price_Rating"/>
    <pivotTable tabId="4" name="Rating_Bands"/>
    <pivotTable tabId="4" name="Top_10_Products_Discount"/>
    <pivotTable tabId="4" name="Top_10_products_review"/>
    <pivotTable tabId="4" name="Top10_products_rating"/>
    <pivotTable tabId="4" name="PivotTable9"/>
    <pivotTable tabId="2" name="PivotTable14"/>
    <pivotTable tabId="2" name="PivotTable15"/>
    <pivotTable tabId="2" name="PivotTable16"/>
  </pivotTables>
  <data>
    <tabular pivotCacheId="124495893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mc:Ignorable="x" name="Slicer_discount_category" sourceName="discount_category">
  <pivotTables>
    <pivotTable tabId="4" name="Main_Pivot"/>
    <pivotTable tabId="4" name="PivotTable9"/>
    <pivotTable tabId="4" name="Price_Rating"/>
    <pivotTable tabId="4" name="Rating_Bands"/>
    <pivotTable tabId="4" name="Top_10_Products_Discount"/>
    <pivotTable tabId="4" name="Top_10_products_review"/>
    <pivotTable tabId="4" name="Top10_products_rating"/>
    <pivotTable tabId="2" name="PivotTable14"/>
    <pivotTable tabId="2" name="PivotTable15"/>
    <pivotTable tabId="2" name="PivotTable16"/>
  </pivotTables>
  <data>
    <tabular pivotCacheId="124495893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mc:Ignorable="x" name="Slicer_price_category" sourceName="price_category">
  <pivotTables>
    <pivotTable tabId="4" name="Main_Pivot"/>
    <pivotTable tabId="4" name="PivotTable9"/>
    <pivotTable tabId="4" name="Price_Rating"/>
    <pivotTable tabId="4" name="Rating_Bands"/>
    <pivotTable tabId="4" name="Top_10_Products_Discount"/>
    <pivotTable tabId="4" name="Top_10_products_review"/>
    <pivotTable tabId="4" name="Top10_products_rating"/>
    <pivotTable tabId="2" name="PivotTable14"/>
    <pivotTable tabId="2" name="PivotTable15"/>
    <pivotTable tabId="2" name="PivotTable16"/>
  </pivotTables>
  <data>
    <tabular pivotCacheId="1244958935" sortOrder="descending">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mc:Ignorable="x" name="Slicer_rating_category1" sourceName="rating_category">
  <extLst>
    <x:ext xmlns:x15="http://schemas.microsoft.com/office/spreadsheetml/2010/11/main" uri="{2F2917AC-EB37-4324-AD4E-5DD8C200BD13}">
      <x15:tableSlicerCache tableId="1" column="15"/>
    </x:ext>
  </extLst>
</slicerCacheDefinition>
</file>

<file path=xl/slicerCaches/slicerCache5.xml><?xml version="1.0" encoding="utf-8"?>
<slicerCacheDefinition xmlns="http://schemas.microsoft.com/office/spreadsheetml/2009/9/main" xmlns:mc="http://schemas.openxmlformats.org/markup-compatibility/2006" xmlns:x="http://purl.oclc.org/ooxml/spreadsheetml/main" mc:Ignorable="x" name="Slicer_discount_category1" sourceName="discount_category">
  <extLst>
    <x:ext xmlns:x15="http://schemas.microsoft.com/office/spreadsheetml/2010/11/main" uri="{2F2917AC-EB37-4324-AD4E-5DD8C200BD13}">
      <x15:tableSlicerCache tableId="1" column="16"/>
    </x:ext>
  </extLst>
</slicerCacheDefinition>
</file>

<file path=xl/slicerCaches/slicerCache6.xml><?xml version="1.0" encoding="utf-8"?>
<slicerCacheDefinition xmlns="http://schemas.microsoft.com/office/spreadsheetml/2009/9/main" xmlns:mc="http://schemas.openxmlformats.org/markup-compatibility/2006" xmlns:x="http://purl.oclc.org/ooxml/spreadsheetml/main" mc:Ignorable="x" name="Slicer_price_category1" sourceName="price_category">
  <extLst>
    <x:ext xmlns:x15="http://schemas.microsoft.com/office/spreadsheetml/2010/11/main" uri="{2F2917AC-EB37-4324-AD4E-5DD8C200BD13}">
      <x15:tableSlicerCache tableId="1" column="17"/>
    </x:ext>
  </extLst>
</slicerCacheDefinition>
</file>

<file path=xl/slicers/slicer1.xml><?xml version="1.0" encoding="utf-8"?>
<slicers xmlns="http://schemas.microsoft.com/office/spreadsheetml/2009/9/main" xmlns:mc="http://schemas.openxmlformats.org/markup-compatibility/2006" xmlns:x="http://purl.oclc.org/ooxml/spreadsheetml/main" mc:Ignorable="x">
  <slicer name="rating_category 1" cache="Slicer_rating_category" caption="rating_category" style="SlicerStyleDark2" rowHeight="251883"/>
  <slicer name="discount_category" cache="Slicer_discount_category" caption="discount_category" style="SlicerStyleDark2" rowHeight="251883"/>
  <slicer name="price_category" cache="Slicer_price_category" caption="price_category" style="SlicerStyleDark2" rowHeight="251883"/>
</slicers>
</file>

<file path=xl/slicers/slicer2.xml><?xml version="1.0" encoding="utf-8"?>
<slicers xmlns="http://schemas.microsoft.com/office/spreadsheetml/2009/9/main" xmlns:mc="http://schemas.openxmlformats.org/markup-compatibility/2006" xmlns:x="http://purl.oclc.org/ooxml/spreadsheetml/main" mc:Ignorable="x">
  <slicer name="rating_category" cache="Slicer_rating_category1" caption="rating_category" style="SlicerStyleDark2" rowHeight="251883"/>
  <slicer name="discount_category 1" cache="Slicer_discount_category1" caption="discount_category" style="SlicerStyleDark2" rowHeight="251883"/>
  <slicer name="price_category 1" cache="Slicer_price_category1" caption="price_category" style="SlicerStyleDark2" rowHeight="251883"/>
</slicers>
</file>

<file path=xl/tables/table1.xml><?xml version="1.0" encoding="utf-8"?>
<table xmlns="http://purl.oclc.org/ooxml/spreadsheetml/main" id="1" name="Jumia_Products" displayName="Jumia_Products" ref="A1:Q113" totalsRowShown="0">
  <autoFilter ref="A1:Q113"/>
  <tableColumns count="17">
    <tableColumn id="1" name="product"/>
    <tableColumn id="2" name="discount"/>
    <tableColumn id="3" name="review" dataDxfId="1568"/>
    <tableColumn id="4" name="rating"/>
    <tableColumn id="5" name="total_rating"/>
    <tableColumn id="6" name="current_price_min"/>
    <tableColumn id="7" name="current_price_max"/>
    <tableColumn id="8" name="old_price_min"/>
    <tableColumn id="9" name="old_price_max"/>
    <tableColumn id="10" name="current_price_mid"/>
    <tableColumn id="11" name="old_price_mid"/>
    <tableColumn id="12" name="discount_amount"/>
    <tableColumn id="13" name="calculated_discount_pct"/>
    <tableColumn id="14" name="discount_difference"/>
    <tableColumn id="15" name="rating_category"/>
    <tableColumn id="16" name="discount_category"/>
    <tableColumn id="17" name="price_category"/>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3" Type="http://purl.oclc.org/ooxml/officeDocument/relationships/pivotTable" Target="../pivotTables/pivotTable3.xml"/><Relationship Id="rId7" Type="http://purl.oclc.org/ooxml/officeDocument/relationships/pivotTable" Target="../pivotTables/pivotTable7.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5" Type="http://purl.oclc.org/ooxml/officeDocument/relationships/pivotTable" Target="../pivotTables/pivotTable5.xml"/><Relationship Id="rId4" Type="http://purl.oclc.org/ooxml/officeDocument/relationships/pivotTable" Target="../pivotTables/pivotTable4.xml"/></Relationships>
</file>

<file path=xl/worksheets/_rels/sheet3.xml.rels><?xml version="1.0" encoding="UTF-8" standalone="yes"?>
<Relationships xmlns="http://schemas.openxmlformats.org/package/2006/relationships"><Relationship Id="rId3" Type="http://purl.oclc.org/ooxml/officeDocument/relationships/pivotTable" Target="../pivotTables/pivotTable10.xml"/><Relationship Id="rId2" Type="http://purl.oclc.org/ooxml/officeDocument/relationships/pivotTable" Target="../pivotTables/pivotTable9.xml"/><Relationship Id="rId1" Type="http://purl.oclc.org/ooxml/officeDocument/relationships/pivotTable" Target="../pivotTables/pivotTable8.xml"/><Relationship Id="rId6" Type="http://schemas.microsoft.com/office/2007/relationships/slicer" Target="../slicers/slicer2.xml"/><Relationship Id="rId5" Type="http://schemas.microsoft.com/office/2007/relationships/slicer" Target="../slicers/slicer1.xml"/><Relationship Id="rId4"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Q113"/>
  <sheetViews>
    <sheetView workbookViewId="0">
      <selection activeCell="A14" sqref="A14"/>
    </sheetView>
  </sheetViews>
  <sheetFormatPr baseColWidth="10" defaultRowHeight="16" x14ac:dyDescent="0.2"/>
  <cols>
    <col min="1" max="1" width="74.83203125" customWidth="1"/>
    <col min="2" max="2" width="15" customWidth="1"/>
    <col min="5" max="5" width="13.1640625" customWidth="1"/>
    <col min="6" max="6" width="23" customWidth="1"/>
    <col min="7" max="7" width="22.6640625" customWidth="1"/>
    <col min="8" max="8" width="21.6640625" customWidth="1"/>
    <col min="9" max="9" width="15.6640625" customWidth="1"/>
    <col min="10" max="10" width="18.5" customWidth="1"/>
    <col min="11" max="11" width="15.1640625" customWidth="1"/>
    <col min="12" max="12" width="17.6640625" customWidth="1"/>
    <col min="13" max="13" width="27.33203125" customWidth="1"/>
    <col min="14" max="14" width="22" customWidth="1"/>
    <col min="15" max="15" width="16.5" customWidth="1"/>
    <col min="16" max="16" width="18.5" customWidth="1"/>
    <col min="17" max="17" width="15.6640625"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v>0.38</v>
      </c>
      <c r="C2" s="4">
        <v>2</v>
      </c>
      <c r="D2">
        <v>4.5</v>
      </c>
      <c r="E2">
        <v>5</v>
      </c>
      <c r="F2">
        <v>950</v>
      </c>
      <c r="G2">
        <v>950</v>
      </c>
      <c r="H2">
        <v>1525</v>
      </c>
      <c r="I2">
        <v>1525</v>
      </c>
      <c r="J2">
        <v>950</v>
      </c>
      <c r="K2">
        <v>1525</v>
      </c>
      <c r="L2">
        <v>575</v>
      </c>
      <c r="M2">
        <v>0.377</v>
      </c>
      <c r="N2">
        <v>-3.0000000000000001E-3</v>
      </c>
      <c r="O2" t="s">
        <v>18</v>
      </c>
      <c r="P2" t="s">
        <v>19</v>
      </c>
      <c r="Q2" t="s">
        <v>19</v>
      </c>
    </row>
    <row r="3" spans="1:17" x14ac:dyDescent="0.2">
      <c r="A3" t="s">
        <v>20</v>
      </c>
      <c r="B3">
        <v>0.47</v>
      </c>
      <c r="C3" s="4">
        <v>14</v>
      </c>
      <c r="D3">
        <v>4.0999999999999996</v>
      </c>
      <c r="E3">
        <v>5</v>
      </c>
      <c r="F3">
        <v>527</v>
      </c>
      <c r="G3">
        <v>527</v>
      </c>
      <c r="H3">
        <v>999</v>
      </c>
      <c r="I3">
        <v>999</v>
      </c>
      <c r="J3">
        <v>527</v>
      </c>
      <c r="K3">
        <v>999</v>
      </c>
      <c r="L3">
        <v>472</v>
      </c>
      <c r="M3">
        <v>0.47199999999999998</v>
      </c>
      <c r="N3">
        <v>2E-3</v>
      </c>
      <c r="O3" t="s">
        <v>18</v>
      </c>
      <c r="P3" t="s">
        <v>21</v>
      </c>
      <c r="Q3" t="s">
        <v>19</v>
      </c>
    </row>
    <row r="4" spans="1:17" x14ac:dyDescent="0.2">
      <c r="A4" t="s">
        <v>22</v>
      </c>
      <c r="B4">
        <v>0.25</v>
      </c>
      <c r="C4" s="4">
        <v>24</v>
      </c>
      <c r="D4">
        <v>4.5999999999999996</v>
      </c>
      <c r="E4">
        <v>5</v>
      </c>
      <c r="F4">
        <v>2199</v>
      </c>
      <c r="G4">
        <v>2199</v>
      </c>
      <c r="H4">
        <v>2923</v>
      </c>
      <c r="I4">
        <v>2923</v>
      </c>
      <c r="J4">
        <v>2199</v>
      </c>
      <c r="K4">
        <v>2923</v>
      </c>
      <c r="L4">
        <v>724</v>
      </c>
      <c r="M4">
        <v>0.248</v>
      </c>
      <c r="N4">
        <v>-2E-3</v>
      </c>
      <c r="O4" t="s">
        <v>23</v>
      </c>
      <c r="P4" t="s">
        <v>19</v>
      </c>
      <c r="Q4" t="s">
        <v>24</v>
      </c>
    </row>
    <row r="5" spans="1:17" x14ac:dyDescent="0.2">
      <c r="A5" t="s">
        <v>25</v>
      </c>
      <c r="B5">
        <v>0.37</v>
      </c>
      <c r="C5" s="4">
        <v>7</v>
      </c>
      <c r="D5">
        <v>4.7</v>
      </c>
      <c r="E5">
        <v>5</v>
      </c>
      <c r="F5">
        <v>1580</v>
      </c>
      <c r="G5">
        <v>1580</v>
      </c>
      <c r="H5">
        <v>2499</v>
      </c>
      <c r="I5">
        <v>2499</v>
      </c>
      <c r="J5">
        <v>1580</v>
      </c>
      <c r="K5">
        <v>2499</v>
      </c>
      <c r="L5">
        <v>919</v>
      </c>
      <c r="M5">
        <v>0.36799999999999999</v>
      </c>
      <c r="N5">
        <v>-2E-3</v>
      </c>
      <c r="O5" t="s">
        <v>23</v>
      </c>
      <c r="P5" t="s">
        <v>19</v>
      </c>
      <c r="Q5" t="s">
        <v>21</v>
      </c>
    </row>
    <row r="6" spans="1:17" x14ac:dyDescent="0.2">
      <c r="A6" t="s">
        <v>26</v>
      </c>
      <c r="B6">
        <v>0.26</v>
      </c>
      <c r="C6" s="4">
        <v>5</v>
      </c>
      <c r="D6">
        <v>4.8</v>
      </c>
      <c r="E6">
        <v>5</v>
      </c>
      <c r="F6">
        <v>1740</v>
      </c>
      <c r="G6">
        <v>1740</v>
      </c>
      <c r="H6">
        <v>2356</v>
      </c>
      <c r="I6">
        <v>2356</v>
      </c>
      <c r="J6">
        <v>1740</v>
      </c>
      <c r="K6">
        <v>2356</v>
      </c>
      <c r="L6">
        <v>616</v>
      </c>
      <c r="M6">
        <v>0.26100000000000001</v>
      </c>
      <c r="N6">
        <v>1E-3</v>
      </c>
      <c r="O6" t="s">
        <v>23</v>
      </c>
      <c r="P6" t="s">
        <v>19</v>
      </c>
      <c r="Q6" t="s">
        <v>24</v>
      </c>
    </row>
    <row r="7" spans="1:17" x14ac:dyDescent="0.2">
      <c r="A7" t="s">
        <v>27</v>
      </c>
      <c r="B7">
        <v>0.09</v>
      </c>
      <c r="C7" s="4">
        <v>15</v>
      </c>
      <c r="D7">
        <v>4</v>
      </c>
      <c r="E7">
        <v>5</v>
      </c>
      <c r="F7">
        <v>2999</v>
      </c>
      <c r="G7">
        <v>2999</v>
      </c>
      <c r="H7">
        <v>3290</v>
      </c>
      <c r="I7">
        <v>3290</v>
      </c>
      <c r="J7">
        <v>2999</v>
      </c>
      <c r="K7">
        <v>3290</v>
      </c>
      <c r="L7">
        <v>291</v>
      </c>
      <c r="M7">
        <v>8.7999999999999995E-2</v>
      </c>
      <c r="N7">
        <v>-2E-3</v>
      </c>
      <c r="O7" t="s">
        <v>18</v>
      </c>
      <c r="P7" t="s">
        <v>28</v>
      </c>
      <c r="Q7" t="s">
        <v>24</v>
      </c>
    </row>
    <row r="8" spans="1:17" x14ac:dyDescent="0.2">
      <c r="A8" t="s">
        <v>29</v>
      </c>
      <c r="B8">
        <v>0.24</v>
      </c>
      <c r="C8" s="4">
        <v>55</v>
      </c>
      <c r="D8">
        <v>4.5999999999999996</v>
      </c>
      <c r="E8">
        <v>5</v>
      </c>
      <c r="F8">
        <v>2319</v>
      </c>
      <c r="G8">
        <v>2319</v>
      </c>
      <c r="H8">
        <v>3032</v>
      </c>
      <c r="I8">
        <v>3032</v>
      </c>
      <c r="J8">
        <v>2319</v>
      </c>
      <c r="K8">
        <v>3032</v>
      </c>
      <c r="L8">
        <v>713</v>
      </c>
      <c r="M8">
        <v>0.23499999999999999</v>
      </c>
      <c r="N8">
        <v>-5.0000000000000001E-3</v>
      </c>
      <c r="O8" t="s">
        <v>23</v>
      </c>
      <c r="P8" t="s">
        <v>19</v>
      </c>
      <c r="Q8" t="s">
        <v>24</v>
      </c>
    </row>
    <row r="9" spans="1:17" x14ac:dyDescent="0.2">
      <c r="A9" t="s">
        <v>30</v>
      </c>
      <c r="B9">
        <v>0.37</v>
      </c>
      <c r="C9" s="4">
        <v>2</v>
      </c>
      <c r="D9">
        <v>4</v>
      </c>
      <c r="E9">
        <v>5</v>
      </c>
      <c r="F9">
        <v>988</v>
      </c>
      <c r="G9">
        <v>988</v>
      </c>
      <c r="H9">
        <v>1580</v>
      </c>
      <c r="I9">
        <v>1580</v>
      </c>
      <c r="J9">
        <v>988</v>
      </c>
      <c r="K9">
        <v>1580</v>
      </c>
      <c r="L9">
        <v>592</v>
      </c>
      <c r="M9">
        <v>0.375</v>
      </c>
      <c r="N9">
        <v>5.0000000000000001E-3</v>
      </c>
      <c r="O9" t="s">
        <v>18</v>
      </c>
      <c r="P9" t="s">
        <v>19</v>
      </c>
      <c r="Q9" t="s">
        <v>19</v>
      </c>
    </row>
    <row r="10" spans="1:17" x14ac:dyDescent="0.2">
      <c r="A10" t="s">
        <v>31</v>
      </c>
      <c r="B10">
        <v>0.55000000000000004</v>
      </c>
      <c r="C10" s="4">
        <v>5</v>
      </c>
      <c r="D10">
        <v>4.8</v>
      </c>
      <c r="E10">
        <v>5</v>
      </c>
      <c r="F10">
        <v>1274</v>
      </c>
      <c r="G10">
        <v>1274</v>
      </c>
      <c r="H10">
        <v>2800</v>
      </c>
      <c r="I10">
        <v>2800</v>
      </c>
      <c r="J10">
        <v>1274</v>
      </c>
      <c r="K10">
        <v>2800</v>
      </c>
      <c r="L10">
        <v>1526</v>
      </c>
      <c r="M10">
        <v>0.54500000000000004</v>
      </c>
      <c r="N10">
        <v>-5.0000000000000001E-3</v>
      </c>
      <c r="O10" t="s">
        <v>23</v>
      </c>
      <c r="P10" t="s">
        <v>21</v>
      </c>
      <c r="Q10" t="s">
        <v>21</v>
      </c>
    </row>
    <row r="11" spans="1:17" x14ac:dyDescent="0.2">
      <c r="A11" t="s">
        <v>32</v>
      </c>
      <c r="B11">
        <v>0.45</v>
      </c>
      <c r="C11" s="4">
        <v>5</v>
      </c>
      <c r="D11">
        <v>3.8</v>
      </c>
      <c r="E11">
        <v>5</v>
      </c>
      <c r="F11">
        <v>1600</v>
      </c>
      <c r="G11">
        <v>1600</v>
      </c>
      <c r="H11">
        <v>2929</v>
      </c>
      <c r="I11">
        <v>2929</v>
      </c>
      <c r="J11">
        <v>1600</v>
      </c>
      <c r="K11">
        <v>2929</v>
      </c>
      <c r="L11">
        <v>1329</v>
      </c>
      <c r="M11">
        <v>0.45400000000000001</v>
      </c>
      <c r="N11">
        <v>4.0000000000000001E-3</v>
      </c>
      <c r="O11" t="s">
        <v>18</v>
      </c>
      <c r="P11" t="s">
        <v>21</v>
      </c>
      <c r="Q11" t="s">
        <v>21</v>
      </c>
    </row>
    <row r="12" spans="1:17" x14ac:dyDescent="0.2">
      <c r="A12" t="s">
        <v>33</v>
      </c>
      <c r="B12">
        <v>0.2</v>
      </c>
      <c r="C12" s="4">
        <v>12</v>
      </c>
      <c r="D12">
        <v>4.0999999999999996</v>
      </c>
      <c r="E12">
        <v>5</v>
      </c>
      <c r="F12">
        <v>799</v>
      </c>
      <c r="G12">
        <v>799</v>
      </c>
      <c r="H12">
        <v>999</v>
      </c>
      <c r="I12">
        <v>999</v>
      </c>
      <c r="J12">
        <v>799</v>
      </c>
      <c r="K12">
        <v>999</v>
      </c>
      <c r="L12">
        <v>200</v>
      </c>
      <c r="M12">
        <v>0.2</v>
      </c>
      <c r="N12">
        <v>0</v>
      </c>
      <c r="O12" t="s">
        <v>18</v>
      </c>
      <c r="P12" t="s">
        <v>19</v>
      </c>
      <c r="Q12" t="s">
        <v>19</v>
      </c>
    </row>
    <row r="13" spans="1:17" x14ac:dyDescent="0.2">
      <c r="A13" t="s">
        <v>34</v>
      </c>
      <c r="B13">
        <v>0.34</v>
      </c>
      <c r="C13" s="4">
        <v>39</v>
      </c>
      <c r="D13">
        <v>4.7</v>
      </c>
      <c r="E13">
        <v>5</v>
      </c>
      <c r="F13">
        <v>990</v>
      </c>
      <c r="G13">
        <v>990</v>
      </c>
      <c r="H13">
        <v>1500</v>
      </c>
      <c r="I13">
        <v>1500</v>
      </c>
      <c r="J13">
        <v>990</v>
      </c>
      <c r="K13">
        <v>1500</v>
      </c>
      <c r="L13">
        <v>510</v>
      </c>
      <c r="M13">
        <v>0.34</v>
      </c>
      <c r="N13">
        <v>0</v>
      </c>
      <c r="O13" t="s">
        <v>23</v>
      </c>
      <c r="P13" t="s">
        <v>19</v>
      </c>
      <c r="Q13" t="s">
        <v>19</v>
      </c>
    </row>
    <row r="14" spans="1:17" x14ac:dyDescent="0.2">
      <c r="A14" t="s">
        <v>35</v>
      </c>
      <c r="B14">
        <v>0.47</v>
      </c>
      <c r="C14" s="4">
        <v>12</v>
      </c>
      <c r="D14">
        <v>4.8</v>
      </c>
      <c r="E14">
        <v>5</v>
      </c>
      <c r="F14">
        <v>552</v>
      </c>
      <c r="G14">
        <v>552</v>
      </c>
      <c r="H14">
        <v>1035</v>
      </c>
      <c r="I14">
        <v>1035</v>
      </c>
      <c r="J14">
        <v>552</v>
      </c>
      <c r="K14">
        <v>1035</v>
      </c>
      <c r="L14">
        <v>483</v>
      </c>
      <c r="M14">
        <v>0.46700000000000003</v>
      </c>
      <c r="N14">
        <v>-3.0000000000000001E-3</v>
      </c>
      <c r="O14" t="s">
        <v>23</v>
      </c>
      <c r="P14" t="s">
        <v>21</v>
      </c>
      <c r="Q14" t="s">
        <v>19</v>
      </c>
    </row>
    <row r="15" spans="1:17" x14ac:dyDescent="0.2">
      <c r="A15" t="s">
        <v>36</v>
      </c>
      <c r="B15">
        <v>0.42</v>
      </c>
      <c r="C15" s="4">
        <v>6</v>
      </c>
      <c r="D15">
        <v>4.5</v>
      </c>
      <c r="E15">
        <v>5</v>
      </c>
      <c r="F15">
        <v>501</v>
      </c>
      <c r="G15">
        <v>501</v>
      </c>
      <c r="H15">
        <v>860</v>
      </c>
      <c r="I15">
        <v>860</v>
      </c>
      <c r="J15">
        <v>501</v>
      </c>
      <c r="K15">
        <v>860</v>
      </c>
      <c r="L15">
        <v>359</v>
      </c>
      <c r="M15">
        <v>0.41699999999999998</v>
      </c>
      <c r="N15">
        <v>-3.0000000000000001E-3</v>
      </c>
      <c r="O15" t="s">
        <v>18</v>
      </c>
      <c r="P15" t="s">
        <v>21</v>
      </c>
      <c r="Q15" t="s">
        <v>19</v>
      </c>
    </row>
    <row r="16" spans="1:17" x14ac:dyDescent="0.2">
      <c r="A16" t="s">
        <v>37</v>
      </c>
      <c r="B16">
        <v>0.33</v>
      </c>
      <c r="C16" s="4">
        <v>9</v>
      </c>
      <c r="D16">
        <v>4.2</v>
      </c>
      <c r="E16">
        <v>5</v>
      </c>
      <c r="F16">
        <v>1680</v>
      </c>
      <c r="G16">
        <v>1680</v>
      </c>
      <c r="H16">
        <v>2499</v>
      </c>
      <c r="I16">
        <v>2499</v>
      </c>
      <c r="J16">
        <v>1680</v>
      </c>
      <c r="K16">
        <v>2499</v>
      </c>
      <c r="L16">
        <v>819</v>
      </c>
      <c r="M16">
        <v>0.32800000000000001</v>
      </c>
      <c r="N16">
        <v>-2E-3</v>
      </c>
      <c r="O16" t="s">
        <v>18</v>
      </c>
      <c r="P16" t="s">
        <v>19</v>
      </c>
      <c r="Q16" t="s">
        <v>24</v>
      </c>
    </row>
    <row r="17" spans="1:17" x14ac:dyDescent="0.2">
      <c r="A17" t="s">
        <v>38</v>
      </c>
      <c r="B17">
        <v>0.51</v>
      </c>
      <c r="C17" s="4">
        <v>2</v>
      </c>
      <c r="D17">
        <v>5</v>
      </c>
      <c r="E17">
        <v>5</v>
      </c>
      <c r="F17">
        <v>332</v>
      </c>
      <c r="G17">
        <v>332</v>
      </c>
      <c r="H17">
        <v>684</v>
      </c>
      <c r="I17">
        <v>684</v>
      </c>
      <c r="J17">
        <v>332</v>
      </c>
      <c r="K17">
        <v>684</v>
      </c>
      <c r="L17">
        <v>352</v>
      </c>
      <c r="M17">
        <v>0.51500000000000001</v>
      </c>
      <c r="N17">
        <v>5.0000000000000001E-3</v>
      </c>
      <c r="O17" t="s">
        <v>23</v>
      </c>
      <c r="P17" t="s">
        <v>21</v>
      </c>
      <c r="Q17" t="s">
        <v>28</v>
      </c>
    </row>
    <row r="18" spans="1:17" x14ac:dyDescent="0.2">
      <c r="A18" t="s">
        <v>39</v>
      </c>
      <c r="B18">
        <v>0.46</v>
      </c>
      <c r="C18" s="4">
        <v>2</v>
      </c>
      <c r="D18">
        <v>5</v>
      </c>
      <c r="E18">
        <v>5</v>
      </c>
      <c r="F18">
        <v>195</v>
      </c>
      <c r="G18">
        <v>195</v>
      </c>
      <c r="H18">
        <v>360</v>
      </c>
      <c r="I18">
        <v>360</v>
      </c>
      <c r="J18">
        <v>195</v>
      </c>
      <c r="K18">
        <v>360</v>
      </c>
      <c r="L18">
        <v>165</v>
      </c>
      <c r="M18">
        <v>0.45800000000000002</v>
      </c>
      <c r="N18">
        <v>-2E-3</v>
      </c>
      <c r="O18" t="s">
        <v>23</v>
      </c>
      <c r="P18" t="s">
        <v>21</v>
      </c>
      <c r="Q18" t="s">
        <v>28</v>
      </c>
    </row>
    <row r="19" spans="1:17" x14ac:dyDescent="0.2">
      <c r="A19" t="s">
        <v>40</v>
      </c>
      <c r="B19">
        <v>0.49</v>
      </c>
      <c r="C19" s="4">
        <v>3</v>
      </c>
      <c r="D19">
        <v>5</v>
      </c>
      <c r="E19">
        <v>5</v>
      </c>
      <c r="F19">
        <v>2025</v>
      </c>
      <c r="G19">
        <v>2025</v>
      </c>
      <c r="H19">
        <v>3971</v>
      </c>
      <c r="I19">
        <v>3971</v>
      </c>
      <c r="J19">
        <v>2025</v>
      </c>
      <c r="K19">
        <v>3971</v>
      </c>
      <c r="L19">
        <v>1946</v>
      </c>
      <c r="M19">
        <v>0.49</v>
      </c>
      <c r="N19">
        <v>0</v>
      </c>
      <c r="O19" t="s">
        <v>23</v>
      </c>
      <c r="P19" t="s">
        <v>21</v>
      </c>
      <c r="Q19" t="s">
        <v>24</v>
      </c>
    </row>
    <row r="20" spans="1:17" x14ac:dyDescent="0.2">
      <c r="A20" t="s">
        <v>41</v>
      </c>
      <c r="B20">
        <v>0.19</v>
      </c>
      <c r="C20" s="4">
        <v>5</v>
      </c>
      <c r="D20">
        <v>4.5999999999999996</v>
      </c>
      <c r="E20">
        <v>5</v>
      </c>
      <c r="F20">
        <v>2999</v>
      </c>
      <c r="G20">
        <v>2999</v>
      </c>
      <c r="H20">
        <v>3699</v>
      </c>
      <c r="I20">
        <v>3699</v>
      </c>
      <c r="J20">
        <v>2999</v>
      </c>
      <c r="K20">
        <v>3699</v>
      </c>
      <c r="L20">
        <v>700</v>
      </c>
      <c r="M20">
        <v>0.189</v>
      </c>
      <c r="N20">
        <v>-1E-3</v>
      </c>
      <c r="O20" t="s">
        <v>23</v>
      </c>
      <c r="P20" t="s">
        <v>28</v>
      </c>
      <c r="Q20" t="s">
        <v>24</v>
      </c>
    </row>
    <row r="21" spans="1:17" x14ac:dyDescent="0.2">
      <c r="A21" t="s">
        <v>42</v>
      </c>
      <c r="B21">
        <v>0.49</v>
      </c>
      <c r="C21" s="4">
        <v>44</v>
      </c>
      <c r="D21">
        <v>4.5999999999999996</v>
      </c>
      <c r="E21">
        <v>5</v>
      </c>
      <c r="F21">
        <v>998</v>
      </c>
      <c r="G21">
        <v>998</v>
      </c>
      <c r="H21">
        <v>1966</v>
      </c>
      <c r="I21">
        <v>1966</v>
      </c>
      <c r="J21">
        <v>998</v>
      </c>
      <c r="K21">
        <v>1966</v>
      </c>
      <c r="L21">
        <v>968</v>
      </c>
      <c r="M21">
        <v>0.49199999999999999</v>
      </c>
      <c r="N21">
        <v>2E-3</v>
      </c>
      <c r="O21" t="s">
        <v>23</v>
      </c>
      <c r="P21" t="s">
        <v>21</v>
      </c>
      <c r="Q21" t="s">
        <v>19</v>
      </c>
    </row>
    <row r="22" spans="1:17" x14ac:dyDescent="0.2">
      <c r="A22" t="s">
        <v>43</v>
      </c>
      <c r="B22">
        <v>0.53</v>
      </c>
      <c r="C22" s="4">
        <v>13</v>
      </c>
      <c r="D22">
        <v>3.3</v>
      </c>
      <c r="E22">
        <v>5</v>
      </c>
      <c r="F22">
        <v>38</v>
      </c>
      <c r="G22">
        <v>38</v>
      </c>
      <c r="H22">
        <v>80</v>
      </c>
      <c r="I22">
        <v>80</v>
      </c>
      <c r="J22">
        <v>38</v>
      </c>
      <c r="K22">
        <v>80</v>
      </c>
      <c r="L22">
        <v>42</v>
      </c>
      <c r="M22">
        <v>0.52500000000000002</v>
      </c>
      <c r="N22">
        <v>-5.0000000000000001E-3</v>
      </c>
      <c r="O22" t="s">
        <v>18</v>
      </c>
      <c r="P22" t="s">
        <v>21</v>
      </c>
      <c r="Q22" t="s">
        <v>28</v>
      </c>
    </row>
    <row r="23" spans="1:17" x14ac:dyDescent="0.2">
      <c r="A23" t="s">
        <v>44</v>
      </c>
      <c r="B23">
        <v>0.42</v>
      </c>
      <c r="C23" s="4"/>
      <c r="F23">
        <v>1860</v>
      </c>
      <c r="G23">
        <v>1860</v>
      </c>
      <c r="H23">
        <v>3220</v>
      </c>
      <c r="I23">
        <v>3220</v>
      </c>
      <c r="J23">
        <v>1860</v>
      </c>
      <c r="K23">
        <v>3220</v>
      </c>
      <c r="L23">
        <v>1360</v>
      </c>
      <c r="M23">
        <v>0.42199999999999999</v>
      </c>
      <c r="N23">
        <v>2E-3</v>
      </c>
      <c r="O23" t="s">
        <v>45</v>
      </c>
      <c r="P23" t="s">
        <v>21</v>
      </c>
      <c r="Q23" t="s">
        <v>24</v>
      </c>
    </row>
    <row r="24" spans="1:17" x14ac:dyDescent="0.2">
      <c r="A24" t="s">
        <v>46</v>
      </c>
      <c r="B24">
        <v>0.35</v>
      </c>
      <c r="C24" s="4">
        <v>6</v>
      </c>
      <c r="D24">
        <v>4</v>
      </c>
      <c r="E24">
        <v>5</v>
      </c>
      <c r="F24">
        <v>880</v>
      </c>
      <c r="G24">
        <v>880</v>
      </c>
      <c r="H24">
        <v>1350</v>
      </c>
      <c r="I24">
        <v>1350</v>
      </c>
      <c r="J24">
        <v>880</v>
      </c>
      <c r="K24">
        <v>1350</v>
      </c>
      <c r="L24">
        <v>470</v>
      </c>
      <c r="M24">
        <v>0.34799999999999998</v>
      </c>
      <c r="N24">
        <v>-2E-3</v>
      </c>
      <c r="O24" t="s">
        <v>18</v>
      </c>
      <c r="P24" t="s">
        <v>19</v>
      </c>
      <c r="Q24" t="s">
        <v>19</v>
      </c>
    </row>
    <row r="25" spans="1:17" x14ac:dyDescent="0.2">
      <c r="A25" t="s">
        <v>47</v>
      </c>
      <c r="B25">
        <v>0.23</v>
      </c>
      <c r="C25" s="4">
        <v>14</v>
      </c>
      <c r="D25">
        <v>4.4000000000000004</v>
      </c>
      <c r="E25">
        <v>5</v>
      </c>
      <c r="F25">
        <v>1650</v>
      </c>
      <c r="G25">
        <v>1650</v>
      </c>
      <c r="H25">
        <v>2150</v>
      </c>
      <c r="I25">
        <v>2150</v>
      </c>
      <c r="J25">
        <v>1650</v>
      </c>
      <c r="K25">
        <v>2150</v>
      </c>
      <c r="L25">
        <v>500</v>
      </c>
      <c r="M25">
        <v>0.23300000000000001</v>
      </c>
      <c r="N25">
        <v>3.0000000000000001E-3</v>
      </c>
      <c r="O25" t="s">
        <v>18</v>
      </c>
      <c r="P25" t="s">
        <v>19</v>
      </c>
      <c r="Q25" t="s">
        <v>21</v>
      </c>
    </row>
    <row r="26" spans="1:17" x14ac:dyDescent="0.2">
      <c r="A26" t="s">
        <v>48</v>
      </c>
      <c r="B26">
        <v>0.54</v>
      </c>
      <c r="C26" s="4">
        <v>7</v>
      </c>
      <c r="D26">
        <v>4.3</v>
      </c>
      <c r="E26">
        <v>5</v>
      </c>
      <c r="F26">
        <v>2048</v>
      </c>
      <c r="G26">
        <v>2048</v>
      </c>
      <c r="H26">
        <v>4500</v>
      </c>
      <c r="I26">
        <v>4500</v>
      </c>
      <c r="J26">
        <v>2048</v>
      </c>
      <c r="K26">
        <v>4500</v>
      </c>
      <c r="L26">
        <v>2452</v>
      </c>
      <c r="M26">
        <v>0.54500000000000004</v>
      </c>
      <c r="N26">
        <v>5.0000000000000001E-3</v>
      </c>
      <c r="O26" t="s">
        <v>18</v>
      </c>
      <c r="P26" t="s">
        <v>21</v>
      </c>
      <c r="Q26" t="s">
        <v>24</v>
      </c>
    </row>
    <row r="27" spans="1:17" x14ac:dyDescent="0.2">
      <c r="A27" t="s">
        <v>49</v>
      </c>
      <c r="B27">
        <v>0.35</v>
      </c>
      <c r="C27" s="4">
        <v>49</v>
      </c>
      <c r="D27">
        <v>4.5999999999999996</v>
      </c>
      <c r="E27">
        <v>5</v>
      </c>
      <c r="F27">
        <v>420</v>
      </c>
      <c r="G27">
        <v>420</v>
      </c>
      <c r="H27">
        <v>647</v>
      </c>
      <c r="I27">
        <v>647</v>
      </c>
      <c r="J27">
        <v>420</v>
      </c>
      <c r="K27">
        <v>647</v>
      </c>
      <c r="L27">
        <v>227</v>
      </c>
      <c r="M27">
        <v>0.35099999999999998</v>
      </c>
      <c r="N27">
        <v>1E-3</v>
      </c>
      <c r="O27" t="s">
        <v>23</v>
      </c>
      <c r="P27" t="s">
        <v>19</v>
      </c>
      <c r="Q27" t="s">
        <v>28</v>
      </c>
    </row>
    <row r="28" spans="1:17" x14ac:dyDescent="0.2">
      <c r="A28" t="s">
        <v>50</v>
      </c>
      <c r="B28">
        <v>0.18</v>
      </c>
      <c r="C28" s="4">
        <v>12</v>
      </c>
      <c r="D28">
        <v>3.8</v>
      </c>
      <c r="E28">
        <v>5</v>
      </c>
      <c r="F28">
        <v>2880</v>
      </c>
      <c r="G28">
        <v>2880</v>
      </c>
      <c r="H28">
        <v>3520</v>
      </c>
      <c r="I28">
        <v>3520</v>
      </c>
      <c r="J28">
        <v>2880</v>
      </c>
      <c r="K28">
        <v>3520</v>
      </c>
      <c r="L28">
        <v>640</v>
      </c>
      <c r="M28">
        <v>0.182</v>
      </c>
      <c r="N28">
        <v>2E-3</v>
      </c>
      <c r="O28" t="s">
        <v>18</v>
      </c>
      <c r="P28" t="s">
        <v>28</v>
      </c>
      <c r="Q28" t="s">
        <v>24</v>
      </c>
    </row>
    <row r="29" spans="1:17" x14ac:dyDescent="0.2">
      <c r="A29" t="s">
        <v>51</v>
      </c>
      <c r="B29">
        <v>0.32</v>
      </c>
      <c r="C29" s="4">
        <v>13</v>
      </c>
      <c r="D29">
        <v>3.8</v>
      </c>
      <c r="E29">
        <v>5</v>
      </c>
      <c r="F29">
        <v>1350</v>
      </c>
      <c r="G29">
        <v>1350</v>
      </c>
      <c r="H29">
        <v>1990</v>
      </c>
      <c r="I29">
        <v>1990</v>
      </c>
      <c r="J29">
        <v>1350</v>
      </c>
      <c r="K29">
        <v>1990</v>
      </c>
      <c r="L29">
        <v>640</v>
      </c>
      <c r="M29">
        <v>0.32200000000000001</v>
      </c>
      <c r="N29">
        <v>2E-3</v>
      </c>
      <c r="O29" t="s">
        <v>18</v>
      </c>
      <c r="P29" t="s">
        <v>19</v>
      </c>
      <c r="Q29" t="s">
        <v>21</v>
      </c>
    </row>
    <row r="30" spans="1:17" x14ac:dyDescent="0.2">
      <c r="A30" t="s">
        <v>52</v>
      </c>
      <c r="B30">
        <v>0.3</v>
      </c>
      <c r="C30" s="4">
        <v>20</v>
      </c>
      <c r="D30">
        <v>4.0999999999999996</v>
      </c>
      <c r="E30">
        <v>5</v>
      </c>
      <c r="F30">
        <v>1758</v>
      </c>
      <c r="G30">
        <v>1758</v>
      </c>
      <c r="H30">
        <v>2499</v>
      </c>
      <c r="I30">
        <v>2499</v>
      </c>
      <c r="J30">
        <v>1758</v>
      </c>
      <c r="K30">
        <v>2499</v>
      </c>
      <c r="L30">
        <v>741</v>
      </c>
      <c r="M30">
        <v>0.29699999999999999</v>
      </c>
      <c r="N30">
        <v>-3.0000000000000001E-3</v>
      </c>
      <c r="O30" t="s">
        <v>18</v>
      </c>
      <c r="P30" t="s">
        <v>19</v>
      </c>
      <c r="Q30" t="s">
        <v>24</v>
      </c>
    </row>
    <row r="31" spans="1:17" x14ac:dyDescent="0.2">
      <c r="A31" t="s">
        <v>53</v>
      </c>
      <c r="B31">
        <v>0.46</v>
      </c>
      <c r="C31" s="4"/>
      <c r="F31">
        <v>2200</v>
      </c>
      <c r="G31">
        <v>2200</v>
      </c>
      <c r="H31">
        <v>4080</v>
      </c>
      <c r="I31">
        <v>4080</v>
      </c>
      <c r="J31">
        <v>2200</v>
      </c>
      <c r="K31">
        <v>4080</v>
      </c>
      <c r="L31">
        <v>1880</v>
      </c>
      <c r="M31">
        <v>0.46100000000000002</v>
      </c>
      <c r="N31">
        <v>1E-3</v>
      </c>
      <c r="O31" t="s">
        <v>45</v>
      </c>
      <c r="P31" t="s">
        <v>21</v>
      </c>
      <c r="Q31" t="s">
        <v>24</v>
      </c>
    </row>
    <row r="32" spans="1:17" x14ac:dyDescent="0.2">
      <c r="A32" t="s">
        <v>54</v>
      </c>
      <c r="B32">
        <v>0.52</v>
      </c>
      <c r="C32" s="4">
        <v>9</v>
      </c>
      <c r="D32">
        <v>4.3</v>
      </c>
      <c r="E32">
        <v>5</v>
      </c>
      <c r="F32">
        <v>185</v>
      </c>
      <c r="G32">
        <v>185</v>
      </c>
      <c r="H32">
        <v>382</v>
      </c>
      <c r="I32">
        <v>382</v>
      </c>
      <c r="J32">
        <v>185</v>
      </c>
      <c r="K32">
        <v>382</v>
      </c>
      <c r="L32">
        <v>197</v>
      </c>
      <c r="M32">
        <v>0.51600000000000001</v>
      </c>
      <c r="N32">
        <v>-4.0000000000000001E-3</v>
      </c>
      <c r="O32" t="s">
        <v>18</v>
      </c>
      <c r="P32" t="s">
        <v>21</v>
      </c>
      <c r="Q32" t="s">
        <v>28</v>
      </c>
    </row>
    <row r="33" spans="1:17" x14ac:dyDescent="0.2">
      <c r="A33" t="s">
        <v>55</v>
      </c>
      <c r="B33">
        <v>0.34</v>
      </c>
      <c r="C33" s="4">
        <v>12</v>
      </c>
      <c r="D33">
        <v>4.7</v>
      </c>
      <c r="E33">
        <v>5</v>
      </c>
      <c r="F33">
        <v>980</v>
      </c>
      <c r="G33">
        <v>980</v>
      </c>
      <c r="H33">
        <v>1490</v>
      </c>
      <c r="I33">
        <v>1490</v>
      </c>
      <c r="J33">
        <v>980</v>
      </c>
      <c r="K33">
        <v>1490</v>
      </c>
      <c r="L33">
        <v>510</v>
      </c>
      <c r="M33">
        <v>0.34200000000000003</v>
      </c>
      <c r="N33">
        <v>2E-3</v>
      </c>
      <c r="O33" t="s">
        <v>23</v>
      </c>
      <c r="P33" t="s">
        <v>19</v>
      </c>
      <c r="Q33" t="s">
        <v>19</v>
      </c>
    </row>
    <row r="34" spans="1:17" x14ac:dyDescent="0.2">
      <c r="A34" t="s">
        <v>56</v>
      </c>
      <c r="B34">
        <v>0.48</v>
      </c>
      <c r="C34" s="4">
        <v>9</v>
      </c>
      <c r="D34">
        <v>4.3</v>
      </c>
      <c r="E34">
        <v>5</v>
      </c>
      <c r="F34">
        <v>1820</v>
      </c>
      <c r="G34">
        <v>1820</v>
      </c>
      <c r="H34">
        <v>3490</v>
      </c>
      <c r="I34">
        <v>3490</v>
      </c>
      <c r="J34">
        <v>1820</v>
      </c>
      <c r="K34">
        <v>3490</v>
      </c>
      <c r="L34">
        <v>1670</v>
      </c>
      <c r="M34">
        <v>0.47899999999999998</v>
      </c>
      <c r="N34">
        <v>-1E-3</v>
      </c>
      <c r="O34" t="s">
        <v>18</v>
      </c>
      <c r="P34" t="s">
        <v>21</v>
      </c>
      <c r="Q34" t="s">
        <v>24</v>
      </c>
    </row>
    <row r="35" spans="1:17" x14ac:dyDescent="0.2">
      <c r="A35" t="s">
        <v>57</v>
      </c>
      <c r="B35">
        <v>0.27</v>
      </c>
      <c r="C35" s="4">
        <v>20</v>
      </c>
      <c r="D35">
        <v>4.7</v>
      </c>
      <c r="E35">
        <v>5</v>
      </c>
      <c r="F35">
        <v>1940</v>
      </c>
      <c r="G35">
        <v>1940</v>
      </c>
      <c r="H35">
        <v>2650</v>
      </c>
      <c r="I35">
        <v>2650</v>
      </c>
      <c r="J35">
        <v>1940</v>
      </c>
      <c r="K35">
        <v>2650</v>
      </c>
      <c r="L35">
        <v>710</v>
      </c>
      <c r="M35">
        <v>0.26800000000000002</v>
      </c>
      <c r="N35">
        <v>-2E-3</v>
      </c>
      <c r="O35" t="s">
        <v>23</v>
      </c>
      <c r="P35" t="s">
        <v>19</v>
      </c>
      <c r="Q35" t="s">
        <v>24</v>
      </c>
    </row>
    <row r="36" spans="1:17" x14ac:dyDescent="0.2">
      <c r="A36" t="s">
        <v>58</v>
      </c>
      <c r="B36">
        <v>0.27</v>
      </c>
      <c r="C36" s="4">
        <v>32</v>
      </c>
      <c r="D36">
        <v>4.5</v>
      </c>
      <c r="E36">
        <v>5</v>
      </c>
      <c r="F36">
        <v>1980</v>
      </c>
      <c r="G36">
        <v>1980</v>
      </c>
      <c r="H36">
        <v>2699</v>
      </c>
      <c r="I36">
        <v>2699</v>
      </c>
      <c r="J36">
        <v>1980</v>
      </c>
      <c r="K36">
        <v>2699</v>
      </c>
      <c r="L36">
        <v>719</v>
      </c>
      <c r="M36">
        <v>0.26600000000000001</v>
      </c>
      <c r="N36">
        <v>-4.0000000000000001E-3</v>
      </c>
      <c r="O36" t="s">
        <v>18</v>
      </c>
      <c r="P36" t="s">
        <v>19</v>
      </c>
      <c r="Q36" t="s">
        <v>24</v>
      </c>
    </row>
    <row r="37" spans="1:17" x14ac:dyDescent="0.2">
      <c r="A37" t="s">
        <v>59</v>
      </c>
      <c r="B37">
        <v>0.4</v>
      </c>
      <c r="C37" s="4">
        <v>1</v>
      </c>
      <c r="D37">
        <v>5</v>
      </c>
      <c r="E37">
        <v>5</v>
      </c>
      <c r="F37">
        <v>1620</v>
      </c>
      <c r="G37">
        <v>1620</v>
      </c>
      <c r="H37">
        <v>2690</v>
      </c>
      <c r="I37">
        <v>2690</v>
      </c>
      <c r="J37">
        <v>1620</v>
      </c>
      <c r="K37">
        <v>2690</v>
      </c>
      <c r="L37">
        <v>1070</v>
      </c>
      <c r="M37">
        <v>0.39800000000000002</v>
      </c>
      <c r="N37">
        <v>-2E-3</v>
      </c>
      <c r="O37" t="s">
        <v>23</v>
      </c>
      <c r="P37" t="s">
        <v>19</v>
      </c>
      <c r="Q37" t="s">
        <v>21</v>
      </c>
    </row>
    <row r="38" spans="1:17" x14ac:dyDescent="0.2">
      <c r="A38" t="s">
        <v>60</v>
      </c>
      <c r="B38">
        <v>0.53</v>
      </c>
      <c r="C38" s="4">
        <v>2</v>
      </c>
      <c r="D38">
        <v>5</v>
      </c>
      <c r="E38">
        <v>5</v>
      </c>
      <c r="F38">
        <v>171</v>
      </c>
      <c r="G38">
        <v>171</v>
      </c>
      <c r="H38">
        <v>360</v>
      </c>
      <c r="I38">
        <v>360</v>
      </c>
      <c r="J38">
        <v>171</v>
      </c>
      <c r="K38">
        <v>360</v>
      </c>
      <c r="L38">
        <v>189</v>
      </c>
      <c r="M38">
        <v>0.52500000000000002</v>
      </c>
      <c r="N38">
        <v>-5.0000000000000001E-3</v>
      </c>
      <c r="O38" t="s">
        <v>23</v>
      </c>
      <c r="P38" t="s">
        <v>21</v>
      </c>
      <c r="Q38" t="s">
        <v>28</v>
      </c>
    </row>
    <row r="39" spans="1:17" x14ac:dyDescent="0.2">
      <c r="A39" t="s">
        <v>61</v>
      </c>
      <c r="B39">
        <v>0.41</v>
      </c>
      <c r="C39" s="4">
        <v>36</v>
      </c>
      <c r="D39">
        <v>4.3</v>
      </c>
      <c r="E39">
        <v>5</v>
      </c>
      <c r="F39">
        <v>389</v>
      </c>
      <c r="G39">
        <v>389</v>
      </c>
      <c r="H39">
        <v>656</v>
      </c>
      <c r="I39">
        <v>656</v>
      </c>
      <c r="J39">
        <v>389</v>
      </c>
      <c r="K39">
        <v>656</v>
      </c>
      <c r="L39">
        <v>267</v>
      </c>
      <c r="M39">
        <v>0.40699999999999997</v>
      </c>
      <c r="N39">
        <v>-3.0000000000000001E-3</v>
      </c>
      <c r="O39" t="s">
        <v>18</v>
      </c>
      <c r="P39" t="s">
        <v>21</v>
      </c>
      <c r="Q39" t="s">
        <v>28</v>
      </c>
    </row>
    <row r="40" spans="1:17" x14ac:dyDescent="0.2">
      <c r="A40" t="s">
        <v>62</v>
      </c>
      <c r="B40">
        <v>0.38</v>
      </c>
      <c r="C40" s="4">
        <v>2</v>
      </c>
      <c r="D40">
        <v>4.5</v>
      </c>
      <c r="E40">
        <v>5</v>
      </c>
      <c r="F40">
        <v>1620</v>
      </c>
      <c r="G40">
        <v>1980</v>
      </c>
      <c r="H40">
        <v>2200</v>
      </c>
      <c r="I40">
        <v>3200</v>
      </c>
      <c r="J40">
        <v>1800</v>
      </c>
      <c r="K40">
        <v>2700</v>
      </c>
      <c r="L40">
        <v>900</v>
      </c>
      <c r="M40">
        <v>0.33300000000000002</v>
      </c>
      <c r="N40">
        <v>-4.7E-2</v>
      </c>
      <c r="O40" t="s">
        <v>18</v>
      </c>
      <c r="P40" t="s">
        <v>19</v>
      </c>
      <c r="Q40" t="s">
        <v>24</v>
      </c>
    </row>
    <row r="41" spans="1:17" x14ac:dyDescent="0.2">
      <c r="A41" t="s">
        <v>63</v>
      </c>
      <c r="B41">
        <v>0.38</v>
      </c>
      <c r="C41" s="4"/>
      <c r="F41">
        <v>2750</v>
      </c>
      <c r="G41">
        <v>2750</v>
      </c>
      <c r="H41">
        <v>4471</v>
      </c>
      <c r="I41">
        <v>4471</v>
      </c>
      <c r="J41">
        <v>2750</v>
      </c>
      <c r="K41">
        <v>4471</v>
      </c>
      <c r="L41">
        <v>1721</v>
      </c>
      <c r="M41">
        <v>0.38500000000000001</v>
      </c>
      <c r="N41">
        <v>5.0000000000000001E-3</v>
      </c>
      <c r="O41" t="s">
        <v>45</v>
      </c>
      <c r="P41" t="s">
        <v>19</v>
      </c>
      <c r="Q41" t="s">
        <v>24</v>
      </c>
    </row>
    <row r="42" spans="1:17" x14ac:dyDescent="0.2">
      <c r="A42" t="s">
        <v>64</v>
      </c>
      <c r="B42">
        <v>0.49</v>
      </c>
      <c r="C42" s="4"/>
      <c r="F42">
        <v>475</v>
      </c>
      <c r="G42">
        <v>475</v>
      </c>
      <c r="H42">
        <v>931</v>
      </c>
      <c r="I42">
        <v>931</v>
      </c>
      <c r="J42">
        <v>475</v>
      </c>
      <c r="K42">
        <v>931</v>
      </c>
      <c r="L42">
        <v>456</v>
      </c>
      <c r="M42">
        <v>0.49</v>
      </c>
      <c r="N42">
        <v>0</v>
      </c>
      <c r="O42" t="s">
        <v>45</v>
      </c>
      <c r="P42" t="s">
        <v>21</v>
      </c>
      <c r="Q42" t="s">
        <v>28</v>
      </c>
    </row>
    <row r="43" spans="1:17" x14ac:dyDescent="0.2">
      <c r="A43" t="s">
        <v>65</v>
      </c>
      <c r="B43">
        <v>0.5</v>
      </c>
      <c r="C43" s="4"/>
      <c r="F43">
        <v>238</v>
      </c>
      <c r="G43">
        <v>238</v>
      </c>
      <c r="H43">
        <v>476</v>
      </c>
      <c r="I43">
        <v>476</v>
      </c>
      <c r="J43">
        <v>238</v>
      </c>
      <c r="K43">
        <v>476</v>
      </c>
      <c r="L43">
        <v>238</v>
      </c>
      <c r="M43">
        <v>0.5</v>
      </c>
      <c r="N43">
        <v>0</v>
      </c>
      <c r="O43" t="s">
        <v>45</v>
      </c>
      <c r="P43" t="s">
        <v>21</v>
      </c>
      <c r="Q43" t="s">
        <v>28</v>
      </c>
    </row>
    <row r="44" spans="1:17" x14ac:dyDescent="0.2">
      <c r="A44" t="s">
        <v>66</v>
      </c>
      <c r="B44">
        <v>0.42</v>
      </c>
      <c r="C44" s="4"/>
      <c r="F44">
        <v>610</v>
      </c>
      <c r="G44">
        <v>610</v>
      </c>
      <c r="H44">
        <v>1060</v>
      </c>
      <c r="I44">
        <v>1060</v>
      </c>
      <c r="J44">
        <v>610</v>
      </c>
      <c r="K44">
        <v>1060</v>
      </c>
      <c r="L44">
        <v>450</v>
      </c>
      <c r="M44">
        <v>0.42499999999999999</v>
      </c>
      <c r="N44">
        <v>5.0000000000000001E-3</v>
      </c>
      <c r="O44" t="s">
        <v>45</v>
      </c>
      <c r="P44" t="s">
        <v>21</v>
      </c>
      <c r="Q44" t="s">
        <v>19</v>
      </c>
    </row>
    <row r="45" spans="1:17" x14ac:dyDescent="0.2">
      <c r="A45" t="s">
        <v>67</v>
      </c>
      <c r="B45">
        <v>0.02</v>
      </c>
      <c r="C45" s="4"/>
      <c r="F45">
        <v>2132</v>
      </c>
      <c r="G45">
        <v>2132</v>
      </c>
      <c r="H45">
        <v>2169</v>
      </c>
      <c r="I45">
        <v>2169</v>
      </c>
      <c r="J45">
        <v>2132</v>
      </c>
      <c r="K45">
        <v>2169</v>
      </c>
      <c r="L45">
        <v>37</v>
      </c>
      <c r="M45">
        <v>1.7000000000000001E-2</v>
      </c>
      <c r="N45">
        <v>-3.0000000000000001E-3</v>
      </c>
      <c r="O45" t="s">
        <v>45</v>
      </c>
      <c r="P45" t="s">
        <v>28</v>
      </c>
      <c r="Q45" t="s">
        <v>24</v>
      </c>
    </row>
    <row r="46" spans="1:17" x14ac:dyDescent="0.2">
      <c r="A46" t="s">
        <v>68</v>
      </c>
      <c r="B46">
        <v>0.5</v>
      </c>
      <c r="C46" s="4"/>
      <c r="F46">
        <v>999</v>
      </c>
      <c r="G46">
        <v>999</v>
      </c>
      <c r="H46">
        <v>2000</v>
      </c>
      <c r="I46">
        <v>2000</v>
      </c>
      <c r="J46">
        <v>999</v>
      </c>
      <c r="K46">
        <v>2000</v>
      </c>
      <c r="L46">
        <v>1001</v>
      </c>
      <c r="M46">
        <v>0.5</v>
      </c>
      <c r="N46">
        <v>0</v>
      </c>
      <c r="O46" t="s">
        <v>45</v>
      </c>
      <c r="P46" t="s">
        <v>21</v>
      </c>
      <c r="Q46" t="s">
        <v>21</v>
      </c>
    </row>
    <row r="47" spans="1:17" x14ac:dyDescent="0.2">
      <c r="A47" t="s">
        <v>69</v>
      </c>
      <c r="B47">
        <v>0.33</v>
      </c>
      <c r="C47" s="4"/>
      <c r="F47">
        <v>1190</v>
      </c>
      <c r="G47">
        <v>1190</v>
      </c>
      <c r="H47">
        <v>1785</v>
      </c>
      <c r="I47">
        <v>1785</v>
      </c>
      <c r="J47">
        <v>1190</v>
      </c>
      <c r="K47">
        <v>1785</v>
      </c>
      <c r="L47">
        <v>595</v>
      </c>
      <c r="M47">
        <v>0.33300000000000002</v>
      </c>
      <c r="N47">
        <v>3.0000000000000001E-3</v>
      </c>
      <c r="O47" t="s">
        <v>45</v>
      </c>
      <c r="P47" t="s">
        <v>19</v>
      </c>
      <c r="Q47" t="s">
        <v>21</v>
      </c>
    </row>
    <row r="48" spans="1:17" x14ac:dyDescent="0.2">
      <c r="A48" t="s">
        <v>70</v>
      </c>
      <c r="B48">
        <v>0.49</v>
      </c>
      <c r="C48" s="4"/>
      <c r="F48">
        <v>671</v>
      </c>
      <c r="G48">
        <v>671</v>
      </c>
      <c r="H48">
        <v>1316</v>
      </c>
      <c r="I48">
        <v>1316</v>
      </c>
      <c r="J48">
        <v>671</v>
      </c>
      <c r="K48">
        <v>1316</v>
      </c>
      <c r="L48">
        <v>645</v>
      </c>
      <c r="M48">
        <v>0.49</v>
      </c>
      <c r="N48">
        <v>0</v>
      </c>
      <c r="O48" t="s">
        <v>45</v>
      </c>
      <c r="P48" t="s">
        <v>21</v>
      </c>
      <c r="Q48" t="s">
        <v>19</v>
      </c>
    </row>
    <row r="49" spans="1:17" x14ac:dyDescent="0.2">
      <c r="A49" t="s">
        <v>71</v>
      </c>
      <c r="B49">
        <v>0.38</v>
      </c>
      <c r="C49" s="4"/>
      <c r="F49">
        <v>1200</v>
      </c>
      <c r="G49">
        <v>1200</v>
      </c>
      <c r="H49">
        <v>1950</v>
      </c>
      <c r="I49">
        <v>1950</v>
      </c>
      <c r="J49">
        <v>1200</v>
      </c>
      <c r="K49">
        <v>1950</v>
      </c>
      <c r="L49">
        <v>750</v>
      </c>
      <c r="M49">
        <v>0.38500000000000001</v>
      </c>
      <c r="N49">
        <v>5.0000000000000001E-3</v>
      </c>
      <c r="O49" t="s">
        <v>45</v>
      </c>
      <c r="P49" t="s">
        <v>19</v>
      </c>
      <c r="Q49" t="s">
        <v>21</v>
      </c>
    </row>
    <row r="50" spans="1:17" x14ac:dyDescent="0.2">
      <c r="A50" t="s">
        <v>72</v>
      </c>
      <c r="B50">
        <v>0.61</v>
      </c>
      <c r="C50" s="4"/>
      <c r="F50">
        <v>199</v>
      </c>
      <c r="G50">
        <v>199</v>
      </c>
      <c r="H50">
        <v>504</v>
      </c>
      <c r="I50">
        <v>504</v>
      </c>
      <c r="J50">
        <v>199</v>
      </c>
      <c r="K50">
        <v>504</v>
      </c>
      <c r="L50">
        <v>305</v>
      </c>
      <c r="M50">
        <v>0.60499999999999998</v>
      </c>
      <c r="N50">
        <v>-5.0000000000000001E-3</v>
      </c>
      <c r="O50" t="s">
        <v>45</v>
      </c>
      <c r="P50" t="s">
        <v>21</v>
      </c>
      <c r="Q50" t="s">
        <v>28</v>
      </c>
    </row>
    <row r="51" spans="1:17" x14ac:dyDescent="0.2">
      <c r="A51" t="s">
        <v>73</v>
      </c>
      <c r="B51">
        <v>0.5</v>
      </c>
      <c r="C51" s="4"/>
      <c r="F51">
        <v>299</v>
      </c>
      <c r="G51">
        <v>299</v>
      </c>
      <c r="H51">
        <v>600</v>
      </c>
      <c r="I51">
        <v>600</v>
      </c>
      <c r="J51">
        <v>299</v>
      </c>
      <c r="K51">
        <v>600</v>
      </c>
      <c r="L51">
        <v>301</v>
      </c>
      <c r="M51">
        <v>0.502</v>
      </c>
      <c r="N51">
        <v>2E-3</v>
      </c>
      <c r="O51" t="s">
        <v>45</v>
      </c>
      <c r="P51" t="s">
        <v>21</v>
      </c>
      <c r="Q51" t="s">
        <v>28</v>
      </c>
    </row>
    <row r="52" spans="1:17" x14ac:dyDescent="0.2">
      <c r="A52" t="s">
        <v>74</v>
      </c>
      <c r="B52">
        <v>0.02</v>
      </c>
      <c r="C52" s="4"/>
      <c r="F52">
        <v>1660</v>
      </c>
      <c r="G52">
        <v>1660</v>
      </c>
      <c r="H52">
        <v>1699</v>
      </c>
      <c r="I52">
        <v>1699</v>
      </c>
      <c r="J52">
        <v>1660</v>
      </c>
      <c r="K52">
        <v>1699</v>
      </c>
      <c r="L52">
        <v>39</v>
      </c>
      <c r="M52">
        <v>2.3E-2</v>
      </c>
      <c r="N52">
        <v>3.0000000000000001E-3</v>
      </c>
      <c r="O52" t="s">
        <v>45</v>
      </c>
      <c r="P52" t="s">
        <v>28</v>
      </c>
      <c r="Q52" t="s">
        <v>21</v>
      </c>
    </row>
    <row r="53" spans="1:17" x14ac:dyDescent="0.2">
      <c r="A53" t="s">
        <v>75</v>
      </c>
      <c r="B53">
        <v>0.22</v>
      </c>
      <c r="C53" s="4"/>
      <c r="F53">
        <v>299</v>
      </c>
      <c r="G53">
        <v>299</v>
      </c>
      <c r="H53">
        <v>384</v>
      </c>
      <c r="I53">
        <v>384</v>
      </c>
      <c r="J53">
        <v>299</v>
      </c>
      <c r="K53">
        <v>384</v>
      </c>
      <c r="L53">
        <v>85</v>
      </c>
      <c r="M53">
        <v>0.221</v>
      </c>
      <c r="N53">
        <v>1E-3</v>
      </c>
      <c r="O53" t="s">
        <v>45</v>
      </c>
      <c r="P53" t="s">
        <v>19</v>
      </c>
      <c r="Q53" t="s">
        <v>28</v>
      </c>
    </row>
    <row r="54" spans="1:17" x14ac:dyDescent="0.2">
      <c r="A54" t="s">
        <v>76</v>
      </c>
      <c r="B54">
        <v>0.03</v>
      </c>
      <c r="C54" s="4"/>
      <c r="F54">
        <v>1459</v>
      </c>
      <c r="G54">
        <v>1459</v>
      </c>
      <c r="H54">
        <v>1499</v>
      </c>
      <c r="I54">
        <v>1499</v>
      </c>
      <c r="J54">
        <v>1459</v>
      </c>
      <c r="K54">
        <v>1499</v>
      </c>
      <c r="L54">
        <v>40</v>
      </c>
      <c r="M54">
        <v>2.7E-2</v>
      </c>
      <c r="N54">
        <v>-3.0000000000000001E-3</v>
      </c>
      <c r="O54" t="s">
        <v>45</v>
      </c>
      <c r="P54" t="s">
        <v>28</v>
      </c>
      <c r="Q54" t="s">
        <v>21</v>
      </c>
    </row>
    <row r="55" spans="1:17" x14ac:dyDescent="0.2">
      <c r="A55" t="s">
        <v>77</v>
      </c>
      <c r="B55">
        <v>0.41</v>
      </c>
      <c r="C55" s="4"/>
      <c r="F55">
        <v>799</v>
      </c>
      <c r="G55">
        <v>799</v>
      </c>
      <c r="H55">
        <v>1343</v>
      </c>
      <c r="I55">
        <v>1343</v>
      </c>
      <c r="J55">
        <v>799</v>
      </c>
      <c r="K55">
        <v>1343</v>
      </c>
      <c r="L55">
        <v>544</v>
      </c>
      <c r="M55">
        <v>0.40500000000000003</v>
      </c>
      <c r="N55">
        <v>-5.0000000000000001E-3</v>
      </c>
      <c r="O55" t="s">
        <v>45</v>
      </c>
      <c r="P55" t="s">
        <v>21</v>
      </c>
      <c r="Q55" t="s">
        <v>19</v>
      </c>
    </row>
    <row r="56" spans="1:17" x14ac:dyDescent="0.2">
      <c r="A56" t="s">
        <v>78</v>
      </c>
      <c r="B56">
        <v>0.45</v>
      </c>
      <c r="C56" s="4"/>
      <c r="F56">
        <v>499</v>
      </c>
      <c r="G56">
        <v>499</v>
      </c>
      <c r="H56">
        <v>900</v>
      </c>
      <c r="I56">
        <v>900</v>
      </c>
      <c r="J56">
        <v>499</v>
      </c>
      <c r="K56">
        <v>900</v>
      </c>
      <c r="L56">
        <v>401</v>
      </c>
      <c r="M56">
        <v>0.44600000000000001</v>
      </c>
      <c r="N56">
        <v>-4.0000000000000001E-3</v>
      </c>
      <c r="O56" t="s">
        <v>45</v>
      </c>
      <c r="P56" t="s">
        <v>21</v>
      </c>
      <c r="Q56" t="s">
        <v>19</v>
      </c>
    </row>
    <row r="57" spans="1:17" x14ac:dyDescent="0.2">
      <c r="A57" t="s">
        <v>79</v>
      </c>
      <c r="B57">
        <v>0.48</v>
      </c>
      <c r="C57" s="4"/>
      <c r="F57">
        <v>699</v>
      </c>
      <c r="G57">
        <v>699</v>
      </c>
      <c r="H57">
        <v>1343</v>
      </c>
      <c r="I57">
        <v>1343</v>
      </c>
      <c r="J57">
        <v>699</v>
      </c>
      <c r="K57">
        <v>1343</v>
      </c>
      <c r="L57">
        <v>644</v>
      </c>
      <c r="M57">
        <v>0.48</v>
      </c>
      <c r="N57">
        <v>0</v>
      </c>
      <c r="O57" t="s">
        <v>45</v>
      </c>
      <c r="P57" t="s">
        <v>21</v>
      </c>
      <c r="Q57" t="s">
        <v>19</v>
      </c>
    </row>
    <row r="58" spans="1:17" x14ac:dyDescent="0.2">
      <c r="A58" t="s">
        <v>80</v>
      </c>
      <c r="B58">
        <v>0.49</v>
      </c>
      <c r="C58" s="4"/>
      <c r="F58">
        <v>799</v>
      </c>
      <c r="G58">
        <v>799</v>
      </c>
      <c r="H58">
        <v>1567</v>
      </c>
      <c r="I58">
        <v>1567</v>
      </c>
      <c r="J58">
        <v>799</v>
      </c>
      <c r="K58">
        <v>1567</v>
      </c>
      <c r="L58">
        <v>768</v>
      </c>
      <c r="M58">
        <v>0.49</v>
      </c>
      <c r="N58">
        <v>0</v>
      </c>
      <c r="O58" t="s">
        <v>45</v>
      </c>
      <c r="P58" t="s">
        <v>21</v>
      </c>
      <c r="Q58" t="s">
        <v>19</v>
      </c>
    </row>
    <row r="59" spans="1:17" x14ac:dyDescent="0.2">
      <c r="A59" t="s">
        <v>81</v>
      </c>
      <c r="B59">
        <v>0.27</v>
      </c>
      <c r="C59" s="4"/>
      <c r="F59">
        <v>2799</v>
      </c>
      <c r="G59">
        <v>2799</v>
      </c>
      <c r="H59">
        <v>3810</v>
      </c>
      <c r="I59">
        <v>3810</v>
      </c>
      <c r="J59">
        <v>2799</v>
      </c>
      <c r="K59">
        <v>3810</v>
      </c>
      <c r="L59">
        <v>1011</v>
      </c>
      <c r="M59">
        <v>0.26500000000000001</v>
      </c>
      <c r="N59">
        <v>-5.0000000000000001E-3</v>
      </c>
      <c r="O59" t="s">
        <v>45</v>
      </c>
      <c r="P59" t="s">
        <v>19</v>
      </c>
      <c r="Q59" t="s">
        <v>24</v>
      </c>
    </row>
    <row r="60" spans="1:17" x14ac:dyDescent="0.2">
      <c r="A60" t="s">
        <v>78</v>
      </c>
      <c r="B60">
        <v>0.55000000000000004</v>
      </c>
      <c r="C60" s="4"/>
      <c r="F60">
        <v>399</v>
      </c>
      <c r="G60">
        <v>399</v>
      </c>
      <c r="H60">
        <v>896</v>
      </c>
      <c r="I60">
        <v>896</v>
      </c>
      <c r="J60">
        <v>399</v>
      </c>
      <c r="K60">
        <v>896</v>
      </c>
      <c r="L60">
        <v>497</v>
      </c>
      <c r="M60">
        <v>0.55500000000000005</v>
      </c>
      <c r="N60">
        <v>5.0000000000000001E-3</v>
      </c>
      <c r="O60" t="s">
        <v>45</v>
      </c>
      <c r="P60" t="s">
        <v>21</v>
      </c>
      <c r="Q60" t="s">
        <v>28</v>
      </c>
    </row>
    <row r="61" spans="1:17" x14ac:dyDescent="0.2">
      <c r="A61" t="s">
        <v>82</v>
      </c>
      <c r="B61">
        <v>0.13</v>
      </c>
      <c r="C61" s="4">
        <v>6</v>
      </c>
      <c r="D61">
        <v>2.5</v>
      </c>
      <c r="E61">
        <v>5</v>
      </c>
      <c r="F61">
        <v>2170</v>
      </c>
      <c r="G61">
        <v>2170</v>
      </c>
      <c r="H61">
        <v>2500</v>
      </c>
      <c r="I61">
        <v>2500</v>
      </c>
      <c r="J61">
        <v>2170</v>
      </c>
      <c r="K61">
        <v>2500</v>
      </c>
      <c r="L61">
        <v>330</v>
      </c>
      <c r="M61">
        <v>0.13200000000000001</v>
      </c>
      <c r="N61">
        <v>2E-3</v>
      </c>
      <c r="O61" t="s">
        <v>83</v>
      </c>
      <c r="P61" t="s">
        <v>28</v>
      </c>
      <c r="Q61" t="s">
        <v>24</v>
      </c>
    </row>
    <row r="62" spans="1:17" x14ac:dyDescent="0.2">
      <c r="A62" t="s">
        <v>84</v>
      </c>
      <c r="B62">
        <v>0.54</v>
      </c>
      <c r="C62" s="4">
        <v>10</v>
      </c>
      <c r="D62">
        <v>3</v>
      </c>
      <c r="E62">
        <v>5</v>
      </c>
      <c r="F62">
        <v>458</v>
      </c>
      <c r="G62">
        <v>458</v>
      </c>
      <c r="H62">
        <v>986</v>
      </c>
      <c r="I62">
        <v>986</v>
      </c>
      <c r="J62">
        <v>458</v>
      </c>
      <c r="K62">
        <v>986</v>
      </c>
      <c r="L62">
        <v>528</v>
      </c>
      <c r="M62">
        <v>0.53500000000000003</v>
      </c>
      <c r="N62">
        <v>-5.0000000000000001E-3</v>
      </c>
      <c r="O62" t="s">
        <v>18</v>
      </c>
      <c r="P62" t="s">
        <v>21</v>
      </c>
      <c r="Q62" t="s">
        <v>28</v>
      </c>
    </row>
    <row r="63" spans="1:17" x14ac:dyDescent="0.2">
      <c r="A63" t="s">
        <v>85</v>
      </c>
      <c r="B63">
        <v>0.55000000000000004</v>
      </c>
      <c r="C63" s="4">
        <v>13</v>
      </c>
      <c r="D63">
        <v>2.1</v>
      </c>
      <c r="E63">
        <v>5</v>
      </c>
      <c r="F63">
        <v>2115</v>
      </c>
      <c r="G63">
        <v>2115</v>
      </c>
      <c r="H63">
        <v>4700</v>
      </c>
      <c r="I63">
        <v>4700</v>
      </c>
      <c r="J63">
        <v>2115</v>
      </c>
      <c r="K63">
        <v>4700</v>
      </c>
      <c r="L63">
        <v>2585</v>
      </c>
      <c r="M63">
        <v>0.55000000000000004</v>
      </c>
      <c r="N63">
        <v>0</v>
      </c>
      <c r="O63" t="s">
        <v>83</v>
      </c>
      <c r="P63" t="s">
        <v>21</v>
      </c>
      <c r="Q63" t="s">
        <v>24</v>
      </c>
    </row>
    <row r="64" spans="1:17" x14ac:dyDescent="0.2">
      <c r="A64" t="s">
        <v>86</v>
      </c>
      <c r="B64">
        <v>0.49</v>
      </c>
      <c r="C64" s="4">
        <v>69</v>
      </c>
      <c r="D64">
        <v>2.8</v>
      </c>
      <c r="E64">
        <v>5</v>
      </c>
      <c r="F64">
        <v>445</v>
      </c>
      <c r="G64">
        <v>445</v>
      </c>
      <c r="H64">
        <v>873</v>
      </c>
      <c r="I64">
        <v>873</v>
      </c>
      <c r="J64">
        <v>445</v>
      </c>
      <c r="K64">
        <v>873</v>
      </c>
      <c r="L64">
        <v>428</v>
      </c>
      <c r="M64">
        <v>0.49</v>
      </c>
      <c r="N64">
        <v>0</v>
      </c>
      <c r="O64" t="s">
        <v>83</v>
      </c>
      <c r="P64" t="s">
        <v>21</v>
      </c>
      <c r="Q64" t="s">
        <v>28</v>
      </c>
    </row>
    <row r="65" spans="1:17" x14ac:dyDescent="0.2">
      <c r="A65" t="s">
        <v>87</v>
      </c>
      <c r="B65">
        <v>0.52</v>
      </c>
      <c r="C65" s="4">
        <v>15</v>
      </c>
      <c r="D65">
        <v>2.7</v>
      </c>
      <c r="E65">
        <v>5</v>
      </c>
      <c r="F65">
        <v>325</v>
      </c>
      <c r="G65">
        <v>325</v>
      </c>
      <c r="H65">
        <v>680</v>
      </c>
      <c r="I65">
        <v>680</v>
      </c>
      <c r="J65">
        <v>325</v>
      </c>
      <c r="K65">
        <v>680</v>
      </c>
      <c r="L65">
        <v>355</v>
      </c>
      <c r="M65">
        <v>0.52200000000000002</v>
      </c>
      <c r="N65">
        <v>2E-3</v>
      </c>
      <c r="O65" t="s">
        <v>83</v>
      </c>
      <c r="P65" t="s">
        <v>21</v>
      </c>
      <c r="Q65" t="s">
        <v>28</v>
      </c>
    </row>
    <row r="66" spans="1:17" x14ac:dyDescent="0.2">
      <c r="A66" t="s">
        <v>88</v>
      </c>
      <c r="B66">
        <v>0.22</v>
      </c>
      <c r="C66" s="4">
        <v>16</v>
      </c>
      <c r="D66">
        <v>2.9</v>
      </c>
      <c r="E66">
        <v>5</v>
      </c>
      <c r="F66">
        <v>1220</v>
      </c>
      <c r="G66">
        <v>1220</v>
      </c>
      <c r="H66">
        <v>1555</v>
      </c>
      <c r="I66">
        <v>1555</v>
      </c>
      <c r="J66">
        <v>1220</v>
      </c>
      <c r="K66">
        <v>1555</v>
      </c>
      <c r="L66">
        <v>335</v>
      </c>
      <c r="M66">
        <v>0.215</v>
      </c>
      <c r="N66">
        <v>-5.0000000000000001E-3</v>
      </c>
      <c r="O66" t="s">
        <v>83</v>
      </c>
      <c r="P66" t="s">
        <v>19</v>
      </c>
      <c r="Q66" t="s">
        <v>21</v>
      </c>
    </row>
    <row r="67" spans="1:17" x14ac:dyDescent="0.2">
      <c r="A67" t="s">
        <v>89</v>
      </c>
      <c r="B67">
        <v>0.45</v>
      </c>
      <c r="C67" s="4">
        <v>6</v>
      </c>
      <c r="D67">
        <v>2.2000000000000002</v>
      </c>
      <c r="E67">
        <v>5</v>
      </c>
      <c r="F67">
        <v>990</v>
      </c>
      <c r="G67">
        <v>990</v>
      </c>
      <c r="H67">
        <v>1814</v>
      </c>
      <c r="I67">
        <v>1814</v>
      </c>
      <c r="J67">
        <v>990</v>
      </c>
      <c r="K67">
        <v>1814</v>
      </c>
      <c r="L67">
        <v>824</v>
      </c>
      <c r="M67">
        <v>0.45400000000000001</v>
      </c>
      <c r="N67">
        <v>4.0000000000000001E-3</v>
      </c>
      <c r="O67" t="s">
        <v>83</v>
      </c>
      <c r="P67" t="s">
        <v>21</v>
      </c>
      <c r="Q67" t="s">
        <v>19</v>
      </c>
    </row>
    <row r="68" spans="1:17" x14ac:dyDescent="0.2">
      <c r="A68" t="s">
        <v>90</v>
      </c>
      <c r="B68">
        <v>0.5</v>
      </c>
      <c r="C68" s="4">
        <v>7</v>
      </c>
      <c r="D68">
        <v>2.2999999999999998</v>
      </c>
      <c r="E68">
        <v>5</v>
      </c>
      <c r="F68">
        <v>1000</v>
      </c>
      <c r="G68">
        <v>1000</v>
      </c>
      <c r="H68">
        <v>2000</v>
      </c>
      <c r="I68">
        <v>2000</v>
      </c>
      <c r="J68">
        <v>1000</v>
      </c>
      <c r="K68">
        <v>2000</v>
      </c>
      <c r="L68">
        <v>1000</v>
      </c>
      <c r="M68">
        <v>0.5</v>
      </c>
      <c r="N68">
        <v>0</v>
      </c>
      <c r="O68" t="s">
        <v>83</v>
      </c>
      <c r="P68" t="s">
        <v>21</v>
      </c>
      <c r="Q68" t="s">
        <v>21</v>
      </c>
    </row>
    <row r="69" spans="1:17" x14ac:dyDescent="0.2">
      <c r="A69" t="s">
        <v>91</v>
      </c>
      <c r="B69">
        <v>0.39</v>
      </c>
      <c r="C69" s="4">
        <v>5</v>
      </c>
      <c r="D69">
        <v>3</v>
      </c>
      <c r="E69">
        <v>5</v>
      </c>
      <c r="F69">
        <v>3750</v>
      </c>
      <c r="G69">
        <v>3750</v>
      </c>
      <c r="H69">
        <v>6143</v>
      </c>
      <c r="I69">
        <v>6143</v>
      </c>
      <c r="J69">
        <v>3750</v>
      </c>
      <c r="K69">
        <v>6143</v>
      </c>
      <c r="L69">
        <v>2393</v>
      </c>
      <c r="M69">
        <v>0.39</v>
      </c>
      <c r="N69">
        <v>0</v>
      </c>
      <c r="O69" t="s">
        <v>18</v>
      </c>
      <c r="P69" t="s">
        <v>19</v>
      </c>
      <c r="Q69" t="s">
        <v>24</v>
      </c>
    </row>
    <row r="70" spans="1:17" x14ac:dyDescent="0.2">
      <c r="A70" t="s">
        <v>92</v>
      </c>
      <c r="B70">
        <v>0.45</v>
      </c>
      <c r="C70" s="4">
        <v>17</v>
      </c>
      <c r="D70">
        <v>2.6</v>
      </c>
      <c r="E70">
        <v>5</v>
      </c>
      <c r="F70">
        <v>382</v>
      </c>
      <c r="G70">
        <v>382</v>
      </c>
      <c r="H70">
        <v>700</v>
      </c>
      <c r="I70">
        <v>700</v>
      </c>
      <c r="J70">
        <v>382</v>
      </c>
      <c r="K70">
        <v>700</v>
      </c>
      <c r="L70">
        <v>318</v>
      </c>
      <c r="M70">
        <v>0.45400000000000001</v>
      </c>
      <c r="N70">
        <v>4.0000000000000001E-3</v>
      </c>
      <c r="O70" t="s">
        <v>83</v>
      </c>
      <c r="P70" t="s">
        <v>21</v>
      </c>
      <c r="Q70" t="s">
        <v>28</v>
      </c>
    </row>
    <row r="71" spans="1:17" x14ac:dyDescent="0.2">
      <c r="A71" t="s">
        <v>93</v>
      </c>
      <c r="B71">
        <v>0.28999999999999998</v>
      </c>
      <c r="C71" s="4">
        <v>5</v>
      </c>
      <c r="D71">
        <v>3</v>
      </c>
      <c r="E71">
        <v>5</v>
      </c>
      <c r="F71">
        <v>2300</v>
      </c>
      <c r="G71">
        <v>2300</v>
      </c>
      <c r="H71">
        <v>3240</v>
      </c>
      <c r="I71">
        <v>3240</v>
      </c>
      <c r="J71">
        <v>2300</v>
      </c>
      <c r="K71">
        <v>3240</v>
      </c>
      <c r="L71">
        <v>940</v>
      </c>
      <c r="M71">
        <v>0.28999999999999998</v>
      </c>
      <c r="N71">
        <v>0</v>
      </c>
      <c r="O71" t="s">
        <v>18</v>
      </c>
      <c r="P71" t="s">
        <v>19</v>
      </c>
      <c r="Q71" t="s">
        <v>24</v>
      </c>
    </row>
    <row r="72" spans="1:17" x14ac:dyDescent="0.2">
      <c r="A72" t="s">
        <v>94</v>
      </c>
      <c r="B72">
        <v>0.43</v>
      </c>
      <c r="C72" s="4">
        <v>6</v>
      </c>
      <c r="D72">
        <v>2.2999999999999998</v>
      </c>
      <c r="E72">
        <v>5</v>
      </c>
      <c r="F72">
        <v>345</v>
      </c>
      <c r="G72">
        <v>345</v>
      </c>
      <c r="H72">
        <v>602</v>
      </c>
      <c r="I72">
        <v>602</v>
      </c>
      <c r="J72">
        <v>345</v>
      </c>
      <c r="K72">
        <v>602</v>
      </c>
      <c r="L72">
        <v>257</v>
      </c>
      <c r="M72">
        <v>0.42699999999999999</v>
      </c>
      <c r="N72">
        <v>-3.0000000000000001E-3</v>
      </c>
      <c r="O72" t="s">
        <v>83</v>
      </c>
      <c r="P72" t="s">
        <v>21</v>
      </c>
      <c r="Q72" t="s">
        <v>28</v>
      </c>
    </row>
    <row r="73" spans="1:17" x14ac:dyDescent="0.2">
      <c r="A73" t="s">
        <v>95</v>
      </c>
      <c r="B73">
        <v>0.43</v>
      </c>
      <c r="C73" s="4">
        <v>5</v>
      </c>
      <c r="D73">
        <v>3</v>
      </c>
      <c r="E73">
        <v>5</v>
      </c>
      <c r="F73">
        <v>509</v>
      </c>
      <c r="G73">
        <v>509</v>
      </c>
      <c r="H73">
        <v>899</v>
      </c>
      <c r="I73">
        <v>899</v>
      </c>
      <c r="J73">
        <v>509</v>
      </c>
      <c r="K73">
        <v>899</v>
      </c>
      <c r="L73">
        <v>390</v>
      </c>
      <c r="M73">
        <v>0.434</v>
      </c>
      <c r="N73">
        <v>4.0000000000000001E-3</v>
      </c>
      <c r="O73" t="s">
        <v>18</v>
      </c>
      <c r="P73" t="s">
        <v>21</v>
      </c>
      <c r="Q73" t="s">
        <v>19</v>
      </c>
    </row>
    <row r="74" spans="1:17" x14ac:dyDescent="0.2">
      <c r="A74" t="s">
        <v>96</v>
      </c>
      <c r="B74">
        <v>0.47</v>
      </c>
      <c r="C74" s="4">
        <v>6</v>
      </c>
      <c r="D74">
        <v>2.2000000000000002</v>
      </c>
      <c r="E74">
        <v>5</v>
      </c>
      <c r="F74">
        <v>968</v>
      </c>
      <c r="G74">
        <v>968</v>
      </c>
      <c r="H74">
        <v>1814</v>
      </c>
      <c r="I74">
        <v>1814</v>
      </c>
      <c r="J74">
        <v>968</v>
      </c>
      <c r="K74">
        <v>1814</v>
      </c>
      <c r="L74">
        <v>846</v>
      </c>
      <c r="M74">
        <v>0.46600000000000003</v>
      </c>
      <c r="N74">
        <v>-4.0000000000000001E-3</v>
      </c>
      <c r="O74" t="s">
        <v>83</v>
      </c>
      <c r="P74" t="s">
        <v>21</v>
      </c>
      <c r="Q74" t="s">
        <v>19</v>
      </c>
    </row>
    <row r="75" spans="1:17" x14ac:dyDescent="0.2">
      <c r="A75" t="s">
        <v>97</v>
      </c>
      <c r="B75">
        <v>0.47</v>
      </c>
      <c r="C75" s="4">
        <v>7</v>
      </c>
      <c r="D75">
        <v>2.1</v>
      </c>
      <c r="E75">
        <v>5</v>
      </c>
      <c r="F75">
        <v>1570</v>
      </c>
      <c r="G75">
        <v>1570</v>
      </c>
      <c r="H75">
        <v>2988</v>
      </c>
      <c r="I75">
        <v>2988</v>
      </c>
      <c r="J75">
        <v>1570</v>
      </c>
      <c r="K75">
        <v>2988</v>
      </c>
      <c r="L75">
        <v>1418</v>
      </c>
      <c r="M75">
        <v>0.47499999999999998</v>
      </c>
      <c r="N75">
        <v>5.0000000000000001E-3</v>
      </c>
      <c r="O75" t="s">
        <v>83</v>
      </c>
      <c r="P75" t="s">
        <v>21</v>
      </c>
      <c r="Q75" t="s">
        <v>21</v>
      </c>
    </row>
    <row r="76" spans="1:17" x14ac:dyDescent="0.2">
      <c r="A76" t="s">
        <v>98</v>
      </c>
      <c r="B76">
        <v>0.47</v>
      </c>
      <c r="C76" s="4"/>
      <c r="F76">
        <v>790</v>
      </c>
      <c r="G76">
        <v>790</v>
      </c>
      <c r="H76">
        <v>1485</v>
      </c>
      <c r="I76">
        <v>1485</v>
      </c>
      <c r="J76">
        <v>790</v>
      </c>
      <c r="K76">
        <v>1485</v>
      </c>
      <c r="L76">
        <v>695</v>
      </c>
      <c r="M76">
        <v>0.46800000000000003</v>
      </c>
      <c r="N76">
        <v>-2E-3</v>
      </c>
      <c r="O76" t="s">
        <v>45</v>
      </c>
      <c r="P76" t="s">
        <v>21</v>
      </c>
      <c r="Q76" t="s">
        <v>19</v>
      </c>
    </row>
    <row r="77" spans="1:17" x14ac:dyDescent="0.2">
      <c r="A77" t="s">
        <v>99</v>
      </c>
      <c r="B77">
        <v>0.43</v>
      </c>
      <c r="C77" s="4"/>
      <c r="F77">
        <v>690</v>
      </c>
      <c r="G77">
        <v>690</v>
      </c>
      <c r="H77">
        <v>1200</v>
      </c>
      <c r="I77">
        <v>1200</v>
      </c>
      <c r="J77">
        <v>690</v>
      </c>
      <c r="K77">
        <v>1200</v>
      </c>
      <c r="L77">
        <v>510</v>
      </c>
      <c r="M77">
        <v>0.42499999999999999</v>
      </c>
      <c r="N77">
        <v>-5.0000000000000001E-3</v>
      </c>
      <c r="O77" t="s">
        <v>45</v>
      </c>
      <c r="P77" t="s">
        <v>21</v>
      </c>
      <c r="Q77" t="s">
        <v>19</v>
      </c>
    </row>
    <row r="78" spans="1:17" x14ac:dyDescent="0.2">
      <c r="A78" t="s">
        <v>100</v>
      </c>
      <c r="B78">
        <v>0.04</v>
      </c>
      <c r="C78" s="4"/>
      <c r="F78">
        <v>1732</v>
      </c>
      <c r="G78">
        <v>1732</v>
      </c>
      <c r="H78">
        <v>1799</v>
      </c>
      <c r="I78">
        <v>1799</v>
      </c>
      <c r="J78">
        <v>1732</v>
      </c>
      <c r="K78">
        <v>1799</v>
      </c>
      <c r="L78">
        <v>67</v>
      </c>
      <c r="M78">
        <v>3.6999999999999998E-2</v>
      </c>
      <c r="N78">
        <v>-3.0000000000000001E-3</v>
      </c>
      <c r="O78" t="s">
        <v>45</v>
      </c>
      <c r="P78" t="s">
        <v>28</v>
      </c>
      <c r="Q78" t="s">
        <v>24</v>
      </c>
    </row>
    <row r="79" spans="1:17" x14ac:dyDescent="0.2">
      <c r="A79" t="s">
        <v>101</v>
      </c>
      <c r="B79">
        <v>0.49</v>
      </c>
      <c r="C79" s="4"/>
      <c r="F79">
        <v>230</v>
      </c>
      <c r="G79">
        <v>230</v>
      </c>
      <c r="H79">
        <v>450</v>
      </c>
      <c r="I79">
        <v>450</v>
      </c>
      <c r="J79">
        <v>230</v>
      </c>
      <c r="K79">
        <v>450</v>
      </c>
      <c r="L79">
        <v>220</v>
      </c>
      <c r="M79">
        <v>0.48899999999999999</v>
      </c>
      <c r="N79">
        <v>-1E-3</v>
      </c>
      <c r="O79" t="s">
        <v>45</v>
      </c>
      <c r="P79" t="s">
        <v>21</v>
      </c>
      <c r="Q79" t="s">
        <v>28</v>
      </c>
    </row>
    <row r="80" spans="1:17" x14ac:dyDescent="0.2">
      <c r="A80" t="s">
        <v>102</v>
      </c>
      <c r="B80">
        <v>0.46</v>
      </c>
      <c r="C80" s="4">
        <v>1</v>
      </c>
      <c r="D80">
        <v>3</v>
      </c>
      <c r="E80">
        <v>5</v>
      </c>
      <c r="F80">
        <v>1189</v>
      </c>
      <c r="G80">
        <v>1189</v>
      </c>
      <c r="H80">
        <v>2199</v>
      </c>
      <c r="I80">
        <v>2199</v>
      </c>
      <c r="J80">
        <v>1189</v>
      </c>
      <c r="K80">
        <v>2199</v>
      </c>
      <c r="L80">
        <v>1010</v>
      </c>
      <c r="M80">
        <v>0.45900000000000002</v>
      </c>
      <c r="N80">
        <v>-1E-3</v>
      </c>
      <c r="O80" t="s">
        <v>18</v>
      </c>
      <c r="P80" t="s">
        <v>21</v>
      </c>
      <c r="Q80" t="s">
        <v>21</v>
      </c>
    </row>
    <row r="81" spans="1:17" x14ac:dyDescent="0.2">
      <c r="A81" t="s">
        <v>103</v>
      </c>
      <c r="B81">
        <v>0.49</v>
      </c>
      <c r="C81" s="4">
        <v>1</v>
      </c>
      <c r="D81">
        <v>5</v>
      </c>
      <c r="E81">
        <v>5</v>
      </c>
      <c r="F81">
        <v>979</v>
      </c>
      <c r="G81">
        <v>979</v>
      </c>
      <c r="H81">
        <v>1920</v>
      </c>
      <c r="I81">
        <v>1920</v>
      </c>
      <c r="J81">
        <v>979</v>
      </c>
      <c r="K81">
        <v>1920</v>
      </c>
      <c r="L81">
        <v>941</v>
      </c>
      <c r="M81">
        <v>0.49</v>
      </c>
      <c r="N81">
        <v>0</v>
      </c>
      <c r="O81" t="s">
        <v>23</v>
      </c>
      <c r="P81" t="s">
        <v>21</v>
      </c>
      <c r="Q81" t="s">
        <v>19</v>
      </c>
    </row>
    <row r="82" spans="1:17" x14ac:dyDescent="0.2">
      <c r="A82" t="s">
        <v>104</v>
      </c>
      <c r="B82">
        <v>0.36</v>
      </c>
      <c r="C82" s="4"/>
      <c r="F82">
        <v>1460</v>
      </c>
      <c r="G82">
        <v>1460</v>
      </c>
      <c r="H82">
        <v>2290</v>
      </c>
      <c r="I82">
        <v>2290</v>
      </c>
      <c r="J82">
        <v>1460</v>
      </c>
      <c r="K82">
        <v>2290</v>
      </c>
      <c r="L82">
        <v>830</v>
      </c>
      <c r="M82">
        <v>0.36199999999999999</v>
      </c>
      <c r="N82">
        <v>2E-3</v>
      </c>
      <c r="O82" t="s">
        <v>45</v>
      </c>
      <c r="P82" t="s">
        <v>19</v>
      </c>
      <c r="Q82" t="s">
        <v>21</v>
      </c>
    </row>
    <row r="83" spans="1:17" x14ac:dyDescent="0.2">
      <c r="A83" t="s">
        <v>105</v>
      </c>
      <c r="B83">
        <v>0.02</v>
      </c>
      <c r="C83" s="4"/>
      <c r="F83">
        <v>1666</v>
      </c>
      <c r="G83">
        <v>1666</v>
      </c>
      <c r="H83">
        <v>1699</v>
      </c>
      <c r="I83">
        <v>1699</v>
      </c>
      <c r="J83">
        <v>1666</v>
      </c>
      <c r="K83">
        <v>1699</v>
      </c>
      <c r="L83">
        <v>33</v>
      </c>
      <c r="M83">
        <v>1.9E-2</v>
      </c>
      <c r="N83">
        <v>-1E-3</v>
      </c>
      <c r="O83" t="s">
        <v>45</v>
      </c>
      <c r="P83" t="s">
        <v>28</v>
      </c>
      <c r="Q83" t="s">
        <v>21</v>
      </c>
    </row>
    <row r="84" spans="1:17" x14ac:dyDescent="0.2">
      <c r="A84" t="s">
        <v>106</v>
      </c>
      <c r="B84">
        <v>0.49</v>
      </c>
      <c r="C84" s="4">
        <v>1</v>
      </c>
      <c r="D84">
        <v>4</v>
      </c>
      <c r="E84">
        <v>5</v>
      </c>
      <c r="F84">
        <v>330</v>
      </c>
      <c r="G84">
        <v>330</v>
      </c>
      <c r="H84">
        <v>647</v>
      </c>
      <c r="I84">
        <v>647</v>
      </c>
      <c r="J84">
        <v>330</v>
      </c>
      <c r="K84">
        <v>647</v>
      </c>
      <c r="L84">
        <v>317</v>
      </c>
      <c r="M84">
        <v>0.49</v>
      </c>
      <c r="N84">
        <v>0</v>
      </c>
      <c r="O84" t="s">
        <v>18</v>
      </c>
      <c r="P84" t="s">
        <v>21</v>
      </c>
      <c r="Q84" t="s">
        <v>28</v>
      </c>
    </row>
    <row r="85" spans="1:17" x14ac:dyDescent="0.2">
      <c r="A85" t="s">
        <v>72</v>
      </c>
      <c r="B85">
        <v>0.49</v>
      </c>
      <c r="C85" s="4"/>
      <c r="F85">
        <v>176</v>
      </c>
      <c r="G85">
        <v>176</v>
      </c>
      <c r="H85">
        <v>345</v>
      </c>
      <c r="I85">
        <v>345</v>
      </c>
      <c r="J85">
        <v>176</v>
      </c>
      <c r="K85">
        <v>345</v>
      </c>
      <c r="L85">
        <v>169</v>
      </c>
      <c r="M85">
        <v>0.49</v>
      </c>
      <c r="N85">
        <v>0</v>
      </c>
      <c r="O85" t="s">
        <v>45</v>
      </c>
      <c r="P85" t="s">
        <v>21</v>
      </c>
      <c r="Q85" t="s">
        <v>28</v>
      </c>
    </row>
    <row r="86" spans="1:17" x14ac:dyDescent="0.2">
      <c r="A86" t="s">
        <v>107</v>
      </c>
      <c r="B86">
        <v>0.14000000000000001</v>
      </c>
      <c r="C86" s="4"/>
      <c r="F86">
        <v>1466</v>
      </c>
      <c r="G86">
        <v>1466</v>
      </c>
      <c r="H86">
        <v>1699</v>
      </c>
      <c r="I86">
        <v>1699</v>
      </c>
      <c r="J86">
        <v>1466</v>
      </c>
      <c r="K86">
        <v>1699</v>
      </c>
      <c r="L86">
        <v>233</v>
      </c>
      <c r="M86">
        <v>0.13700000000000001</v>
      </c>
      <c r="N86">
        <v>-3.0000000000000001E-3</v>
      </c>
      <c r="O86" t="s">
        <v>45</v>
      </c>
      <c r="P86" t="s">
        <v>28</v>
      </c>
      <c r="Q86" t="s">
        <v>21</v>
      </c>
    </row>
    <row r="87" spans="1:17" x14ac:dyDescent="0.2">
      <c r="A87" t="s">
        <v>108</v>
      </c>
      <c r="B87">
        <v>0.49</v>
      </c>
      <c r="C87" s="4"/>
      <c r="F87">
        <v>274</v>
      </c>
      <c r="G87">
        <v>274</v>
      </c>
      <c r="H87">
        <v>537</v>
      </c>
      <c r="I87">
        <v>537</v>
      </c>
      <c r="J87">
        <v>274</v>
      </c>
      <c r="K87">
        <v>537</v>
      </c>
      <c r="L87">
        <v>263</v>
      </c>
      <c r="M87">
        <v>0.49</v>
      </c>
      <c r="N87">
        <v>0</v>
      </c>
      <c r="O87" t="s">
        <v>45</v>
      </c>
      <c r="P87" t="s">
        <v>21</v>
      </c>
      <c r="Q87" t="s">
        <v>28</v>
      </c>
    </row>
    <row r="88" spans="1:17" x14ac:dyDescent="0.2">
      <c r="A88" t="s">
        <v>109</v>
      </c>
      <c r="B88">
        <v>0.11</v>
      </c>
      <c r="C88" s="4"/>
      <c r="F88">
        <v>799</v>
      </c>
      <c r="G88">
        <v>799</v>
      </c>
      <c r="H88">
        <v>900</v>
      </c>
      <c r="I88">
        <v>900</v>
      </c>
      <c r="J88">
        <v>799</v>
      </c>
      <c r="K88">
        <v>900</v>
      </c>
      <c r="L88">
        <v>101</v>
      </c>
      <c r="M88">
        <v>0.112</v>
      </c>
      <c r="N88">
        <v>2E-3</v>
      </c>
      <c r="O88" t="s">
        <v>45</v>
      </c>
      <c r="P88" t="s">
        <v>28</v>
      </c>
      <c r="Q88" t="s">
        <v>19</v>
      </c>
    </row>
    <row r="89" spans="1:17" x14ac:dyDescent="0.2">
      <c r="A89" t="s">
        <v>80</v>
      </c>
      <c r="B89">
        <v>0.49</v>
      </c>
      <c r="C89" s="4"/>
      <c r="F89">
        <v>657</v>
      </c>
      <c r="G89">
        <v>657</v>
      </c>
      <c r="H89">
        <v>1288</v>
      </c>
      <c r="I89">
        <v>1288</v>
      </c>
      <c r="J89">
        <v>657</v>
      </c>
      <c r="K89">
        <v>1288</v>
      </c>
      <c r="L89">
        <v>631</v>
      </c>
      <c r="M89">
        <v>0.49</v>
      </c>
      <c r="N89">
        <v>0</v>
      </c>
      <c r="O89" t="s">
        <v>45</v>
      </c>
      <c r="P89" t="s">
        <v>21</v>
      </c>
      <c r="Q89" t="s">
        <v>19</v>
      </c>
    </row>
    <row r="90" spans="1:17" x14ac:dyDescent="0.2">
      <c r="A90" t="s">
        <v>110</v>
      </c>
      <c r="B90">
        <v>0.14000000000000001</v>
      </c>
      <c r="C90" s="4"/>
      <c r="F90">
        <v>1468</v>
      </c>
      <c r="G90">
        <v>1468</v>
      </c>
      <c r="H90">
        <v>1699</v>
      </c>
      <c r="I90">
        <v>1699</v>
      </c>
      <c r="J90">
        <v>1468</v>
      </c>
      <c r="K90">
        <v>1699</v>
      </c>
      <c r="L90">
        <v>231</v>
      </c>
      <c r="M90">
        <v>0.13600000000000001</v>
      </c>
      <c r="N90">
        <v>-4.0000000000000001E-3</v>
      </c>
      <c r="O90" t="s">
        <v>45</v>
      </c>
      <c r="P90" t="s">
        <v>28</v>
      </c>
      <c r="Q90" t="s">
        <v>21</v>
      </c>
    </row>
    <row r="91" spans="1:17" x14ac:dyDescent="0.2">
      <c r="A91" t="s">
        <v>111</v>
      </c>
      <c r="B91">
        <v>0.43</v>
      </c>
      <c r="C91" s="4"/>
      <c r="F91">
        <v>630</v>
      </c>
      <c r="G91">
        <v>630</v>
      </c>
      <c r="H91">
        <v>1100</v>
      </c>
      <c r="I91">
        <v>1100</v>
      </c>
      <c r="J91">
        <v>630</v>
      </c>
      <c r="K91">
        <v>1100</v>
      </c>
      <c r="L91">
        <v>470</v>
      </c>
      <c r="M91">
        <v>0.42699999999999999</v>
      </c>
      <c r="N91">
        <v>-3.0000000000000001E-3</v>
      </c>
      <c r="O91" t="s">
        <v>45</v>
      </c>
      <c r="P91" t="s">
        <v>21</v>
      </c>
      <c r="Q91" t="s">
        <v>19</v>
      </c>
    </row>
    <row r="92" spans="1:17" x14ac:dyDescent="0.2">
      <c r="A92" t="s">
        <v>112</v>
      </c>
      <c r="B92">
        <v>0.5</v>
      </c>
      <c r="C92" s="4"/>
      <c r="F92">
        <v>850</v>
      </c>
      <c r="G92">
        <v>850</v>
      </c>
      <c r="H92">
        <v>1700</v>
      </c>
      <c r="I92">
        <v>1700</v>
      </c>
      <c r="J92">
        <v>850</v>
      </c>
      <c r="K92">
        <v>1700</v>
      </c>
      <c r="L92">
        <v>850</v>
      </c>
      <c r="M92">
        <v>0.5</v>
      </c>
      <c r="N92">
        <v>0</v>
      </c>
      <c r="O92" t="s">
        <v>45</v>
      </c>
      <c r="P92" t="s">
        <v>21</v>
      </c>
      <c r="Q92" t="s">
        <v>19</v>
      </c>
    </row>
    <row r="93" spans="1:17" x14ac:dyDescent="0.2">
      <c r="A93" t="s">
        <v>113</v>
      </c>
      <c r="B93">
        <v>0.48</v>
      </c>
      <c r="C93" s="4"/>
      <c r="F93">
        <v>1300</v>
      </c>
      <c r="G93">
        <v>1300</v>
      </c>
      <c r="H93">
        <v>2500</v>
      </c>
      <c r="I93">
        <v>2500</v>
      </c>
      <c r="J93">
        <v>1300</v>
      </c>
      <c r="K93">
        <v>2500</v>
      </c>
      <c r="L93">
        <v>1200</v>
      </c>
      <c r="M93">
        <v>0.48</v>
      </c>
      <c r="N93">
        <v>0</v>
      </c>
      <c r="O93" t="s">
        <v>45</v>
      </c>
      <c r="P93" t="s">
        <v>21</v>
      </c>
      <c r="Q93" t="s">
        <v>21</v>
      </c>
    </row>
    <row r="94" spans="1:17" x14ac:dyDescent="0.2">
      <c r="A94" t="s">
        <v>114</v>
      </c>
      <c r="B94">
        <v>0.48</v>
      </c>
      <c r="C94" s="4"/>
      <c r="F94">
        <v>105</v>
      </c>
      <c r="G94">
        <v>105</v>
      </c>
      <c r="H94">
        <v>200</v>
      </c>
      <c r="I94">
        <v>200</v>
      </c>
      <c r="J94">
        <v>105</v>
      </c>
      <c r="K94">
        <v>200</v>
      </c>
      <c r="L94">
        <v>95</v>
      </c>
      <c r="M94">
        <v>0.47499999999999998</v>
      </c>
      <c r="N94">
        <v>-5.0000000000000001E-3</v>
      </c>
      <c r="O94" t="s">
        <v>45</v>
      </c>
      <c r="P94" t="s">
        <v>21</v>
      </c>
      <c r="Q94" t="s">
        <v>28</v>
      </c>
    </row>
    <row r="95" spans="1:17" x14ac:dyDescent="0.2">
      <c r="A95" t="s">
        <v>115</v>
      </c>
      <c r="B95">
        <v>0.47</v>
      </c>
      <c r="C95" s="4"/>
      <c r="F95">
        <v>899</v>
      </c>
      <c r="G95">
        <v>899</v>
      </c>
      <c r="H95">
        <v>1699</v>
      </c>
      <c r="I95">
        <v>1699</v>
      </c>
      <c r="J95">
        <v>899</v>
      </c>
      <c r="K95">
        <v>1699</v>
      </c>
      <c r="L95">
        <v>800</v>
      </c>
      <c r="M95">
        <v>0.47099999999999997</v>
      </c>
      <c r="N95">
        <v>1E-3</v>
      </c>
      <c r="O95" t="s">
        <v>45</v>
      </c>
      <c r="P95" t="s">
        <v>21</v>
      </c>
      <c r="Q95" t="s">
        <v>19</v>
      </c>
    </row>
    <row r="96" spans="1:17" x14ac:dyDescent="0.2">
      <c r="A96" t="s">
        <v>116</v>
      </c>
      <c r="B96">
        <v>0.5</v>
      </c>
      <c r="C96" s="4"/>
      <c r="F96">
        <v>1200</v>
      </c>
      <c r="G96">
        <v>1200</v>
      </c>
      <c r="H96">
        <v>2400</v>
      </c>
      <c r="I96">
        <v>2400</v>
      </c>
      <c r="J96">
        <v>1200</v>
      </c>
      <c r="K96">
        <v>2400</v>
      </c>
      <c r="L96">
        <v>1200</v>
      </c>
      <c r="M96">
        <v>0.5</v>
      </c>
      <c r="N96">
        <v>0</v>
      </c>
      <c r="O96" t="s">
        <v>45</v>
      </c>
      <c r="P96" t="s">
        <v>21</v>
      </c>
      <c r="Q96" t="s">
        <v>21</v>
      </c>
    </row>
    <row r="97" spans="1:17" x14ac:dyDescent="0.2">
      <c r="A97" t="s">
        <v>117</v>
      </c>
      <c r="B97">
        <v>0.08</v>
      </c>
      <c r="C97" s="4"/>
      <c r="F97">
        <v>1526</v>
      </c>
      <c r="G97">
        <v>1526</v>
      </c>
      <c r="H97">
        <v>1660</v>
      </c>
      <c r="I97">
        <v>1660</v>
      </c>
      <c r="J97">
        <v>1526</v>
      </c>
      <c r="K97">
        <v>1660</v>
      </c>
      <c r="L97">
        <v>134</v>
      </c>
      <c r="M97">
        <v>8.1000000000000003E-2</v>
      </c>
      <c r="N97">
        <v>1E-3</v>
      </c>
      <c r="O97" t="s">
        <v>45</v>
      </c>
      <c r="P97" t="s">
        <v>28</v>
      </c>
      <c r="Q97" t="s">
        <v>21</v>
      </c>
    </row>
    <row r="98" spans="1:17" x14ac:dyDescent="0.2">
      <c r="A98" t="s">
        <v>118</v>
      </c>
      <c r="B98">
        <v>0.02</v>
      </c>
      <c r="C98" s="4"/>
      <c r="F98">
        <v>1462</v>
      </c>
      <c r="G98">
        <v>1462</v>
      </c>
      <c r="H98">
        <v>1499</v>
      </c>
      <c r="I98">
        <v>1499</v>
      </c>
      <c r="J98">
        <v>1462</v>
      </c>
      <c r="K98">
        <v>1499</v>
      </c>
      <c r="L98">
        <v>37</v>
      </c>
      <c r="M98">
        <v>2.5000000000000001E-2</v>
      </c>
      <c r="N98">
        <v>5.0000000000000001E-3</v>
      </c>
      <c r="O98" t="s">
        <v>45</v>
      </c>
      <c r="P98" t="s">
        <v>28</v>
      </c>
      <c r="Q98" t="s">
        <v>21</v>
      </c>
    </row>
    <row r="99" spans="1:17" x14ac:dyDescent="0.2">
      <c r="A99" t="s">
        <v>119</v>
      </c>
      <c r="B99">
        <v>0.49</v>
      </c>
      <c r="C99" s="4"/>
      <c r="F99">
        <v>248</v>
      </c>
      <c r="G99">
        <v>248</v>
      </c>
      <c r="H99">
        <v>486</v>
      </c>
      <c r="I99">
        <v>486</v>
      </c>
      <c r="J99">
        <v>248</v>
      </c>
      <c r="K99">
        <v>486</v>
      </c>
      <c r="L99">
        <v>238</v>
      </c>
      <c r="M99">
        <v>0.49</v>
      </c>
      <c r="N99">
        <v>0</v>
      </c>
      <c r="O99" t="s">
        <v>45</v>
      </c>
      <c r="P99" t="s">
        <v>21</v>
      </c>
      <c r="Q99" t="s">
        <v>28</v>
      </c>
    </row>
    <row r="100" spans="1:17" x14ac:dyDescent="0.2">
      <c r="A100" t="s">
        <v>120</v>
      </c>
      <c r="B100">
        <v>0.04</v>
      </c>
      <c r="C100" s="4"/>
      <c r="F100">
        <v>3546</v>
      </c>
      <c r="G100">
        <v>3546</v>
      </c>
      <c r="H100">
        <v>3699</v>
      </c>
      <c r="I100">
        <v>3699</v>
      </c>
      <c r="J100">
        <v>3546</v>
      </c>
      <c r="K100">
        <v>3699</v>
      </c>
      <c r="L100">
        <v>153</v>
      </c>
      <c r="M100">
        <v>4.1000000000000002E-2</v>
      </c>
      <c r="N100">
        <v>1E-3</v>
      </c>
      <c r="O100" t="s">
        <v>45</v>
      </c>
      <c r="P100" t="s">
        <v>28</v>
      </c>
      <c r="Q100" t="s">
        <v>24</v>
      </c>
    </row>
    <row r="101" spans="1:17" x14ac:dyDescent="0.2">
      <c r="A101" t="s">
        <v>121</v>
      </c>
      <c r="B101">
        <v>0.49</v>
      </c>
      <c r="C101" s="4"/>
      <c r="F101">
        <v>525</v>
      </c>
      <c r="G101">
        <v>525</v>
      </c>
      <c r="H101">
        <v>1029</v>
      </c>
      <c r="I101">
        <v>1029</v>
      </c>
      <c r="J101">
        <v>525</v>
      </c>
      <c r="K101">
        <v>1029</v>
      </c>
      <c r="L101">
        <v>504</v>
      </c>
      <c r="M101">
        <v>0.49</v>
      </c>
      <c r="N101">
        <v>0</v>
      </c>
      <c r="O101" t="s">
        <v>45</v>
      </c>
      <c r="P101" t="s">
        <v>21</v>
      </c>
      <c r="Q101" t="s">
        <v>19</v>
      </c>
    </row>
    <row r="102" spans="1:17" x14ac:dyDescent="0.2">
      <c r="A102" t="s">
        <v>122</v>
      </c>
      <c r="B102">
        <v>0.42</v>
      </c>
      <c r="C102" s="4"/>
      <c r="F102">
        <v>1080</v>
      </c>
      <c r="G102">
        <v>1080</v>
      </c>
      <c r="H102">
        <v>1874</v>
      </c>
      <c r="I102">
        <v>1874</v>
      </c>
      <c r="J102">
        <v>1080</v>
      </c>
      <c r="K102">
        <v>1874</v>
      </c>
      <c r="L102">
        <v>794</v>
      </c>
      <c r="M102">
        <v>0.42399999999999999</v>
      </c>
      <c r="N102">
        <v>4.0000000000000001E-3</v>
      </c>
      <c r="O102" t="s">
        <v>45</v>
      </c>
      <c r="P102" t="s">
        <v>21</v>
      </c>
      <c r="Q102" t="s">
        <v>21</v>
      </c>
    </row>
    <row r="103" spans="1:17" x14ac:dyDescent="0.2">
      <c r="A103" t="s">
        <v>123</v>
      </c>
      <c r="B103">
        <v>0.21</v>
      </c>
      <c r="C103" s="4">
        <v>1</v>
      </c>
      <c r="D103">
        <v>5</v>
      </c>
      <c r="E103">
        <v>5</v>
      </c>
      <c r="F103">
        <v>3640</v>
      </c>
      <c r="G103">
        <v>3640</v>
      </c>
      <c r="H103">
        <v>4588</v>
      </c>
      <c r="I103">
        <v>4588</v>
      </c>
      <c r="J103">
        <v>3640</v>
      </c>
      <c r="K103">
        <v>4588</v>
      </c>
      <c r="L103">
        <v>948</v>
      </c>
      <c r="M103">
        <v>0.20699999999999999</v>
      </c>
      <c r="N103">
        <v>-3.0000000000000001E-3</v>
      </c>
      <c r="O103" t="s">
        <v>23</v>
      </c>
      <c r="P103" t="s">
        <v>19</v>
      </c>
      <c r="Q103" t="s">
        <v>24</v>
      </c>
    </row>
    <row r="104" spans="1:17" x14ac:dyDescent="0.2">
      <c r="A104" t="s">
        <v>124</v>
      </c>
      <c r="B104">
        <v>0.41</v>
      </c>
      <c r="C104" s="4"/>
      <c r="F104">
        <v>1420</v>
      </c>
      <c r="G104">
        <v>1420</v>
      </c>
      <c r="H104">
        <v>2420</v>
      </c>
      <c r="I104">
        <v>2420</v>
      </c>
      <c r="J104">
        <v>1420</v>
      </c>
      <c r="K104">
        <v>2420</v>
      </c>
      <c r="L104">
        <v>1000</v>
      </c>
      <c r="M104">
        <v>0.41299999999999998</v>
      </c>
      <c r="N104">
        <v>3.0000000000000001E-3</v>
      </c>
      <c r="O104" t="s">
        <v>45</v>
      </c>
      <c r="P104" t="s">
        <v>21</v>
      </c>
      <c r="Q104" t="s">
        <v>21</v>
      </c>
    </row>
    <row r="105" spans="1:17" x14ac:dyDescent="0.2">
      <c r="A105" t="s">
        <v>125</v>
      </c>
      <c r="B105">
        <v>0.01</v>
      </c>
      <c r="C105" s="4"/>
      <c r="F105">
        <v>1875</v>
      </c>
      <c r="G105">
        <v>1875</v>
      </c>
      <c r="H105">
        <v>1899</v>
      </c>
      <c r="I105">
        <v>1899</v>
      </c>
      <c r="J105">
        <v>1875</v>
      </c>
      <c r="K105">
        <v>1899</v>
      </c>
      <c r="L105">
        <v>24</v>
      </c>
      <c r="M105">
        <v>1.2999999999999999E-2</v>
      </c>
      <c r="N105">
        <v>3.0000000000000001E-3</v>
      </c>
      <c r="O105" t="s">
        <v>45</v>
      </c>
      <c r="P105" t="s">
        <v>28</v>
      </c>
      <c r="Q105" t="s">
        <v>24</v>
      </c>
    </row>
    <row r="106" spans="1:17" x14ac:dyDescent="0.2">
      <c r="A106" t="s">
        <v>126</v>
      </c>
      <c r="B106">
        <v>0.24</v>
      </c>
      <c r="C106" s="4"/>
      <c r="F106">
        <v>198</v>
      </c>
      <c r="G106">
        <v>198</v>
      </c>
      <c r="H106">
        <v>260</v>
      </c>
      <c r="I106">
        <v>260</v>
      </c>
      <c r="J106">
        <v>198</v>
      </c>
      <c r="K106">
        <v>260</v>
      </c>
      <c r="L106">
        <v>62</v>
      </c>
      <c r="M106">
        <v>0.23799999999999999</v>
      </c>
      <c r="N106">
        <v>-2E-3</v>
      </c>
      <c r="O106" t="s">
        <v>45</v>
      </c>
      <c r="P106" t="s">
        <v>19</v>
      </c>
      <c r="Q106" t="s">
        <v>28</v>
      </c>
    </row>
    <row r="107" spans="1:17" x14ac:dyDescent="0.2">
      <c r="A107" t="s">
        <v>127</v>
      </c>
      <c r="B107">
        <v>0.34</v>
      </c>
      <c r="C107" s="4"/>
      <c r="F107">
        <v>1150</v>
      </c>
      <c r="G107">
        <v>1150</v>
      </c>
      <c r="H107">
        <v>1737</v>
      </c>
      <c r="I107">
        <v>1737</v>
      </c>
      <c r="J107">
        <v>1150</v>
      </c>
      <c r="K107">
        <v>1737</v>
      </c>
      <c r="L107">
        <v>587</v>
      </c>
      <c r="M107">
        <v>0.33800000000000002</v>
      </c>
      <c r="N107">
        <v>-2E-3</v>
      </c>
      <c r="O107" t="s">
        <v>45</v>
      </c>
      <c r="P107" t="s">
        <v>19</v>
      </c>
      <c r="Q107" t="s">
        <v>21</v>
      </c>
    </row>
    <row r="108" spans="1:17" x14ac:dyDescent="0.2">
      <c r="A108" t="s">
        <v>128</v>
      </c>
      <c r="B108">
        <v>0.34</v>
      </c>
      <c r="C108" s="4"/>
      <c r="F108">
        <v>1190</v>
      </c>
      <c r="G108">
        <v>1190</v>
      </c>
      <c r="H108">
        <v>1810</v>
      </c>
      <c r="I108">
        <v>1810</v>
      </c>
      <c r="J108">
        <v>1190</v>
      </c>
      <c r="K108">
        <v>1810</v>
      </c>
      <c r="L108">
        <v>620</v>
      </c>
      <c r="M108">
        <v>0.34300000000000003</v>
      </c>
      <c r="N108">
        <v>3.0000000000000001E-3</v>
      </c>
      <c r="O108" t="s">
        <v>45</v>
      </c>
      <c r="P108" t="s">
        <v>19</v>
      </c>
      <c r="Q108" t="s">
        <v>21</v>
      </c>
    </row>
    <row r="109" spans="1:17" x14ac:dyDescent="0.2">
      <c r="A109" t="s">
        <v>129</v>
      </c>
      <c r="B109">
        <v>0.02</v>
      </c>
      <c r="C109" s="4"/>
      <c r="F109">
        <v>1658</v>
      </c>
      <c r="G109">
        <v>1658</v>
      </c>
      <c r="H109">
        <v>1699</v>
      </c>
      <c r="I109">
        <v>1699</v>
      </c>
      <c r="J109">
        <v>1658</v>
      </c>
      <c r="K109">
        <v>1699</v>
      </c>
      <c r="L109">
        <v>41</v>
      </c>
      <c r="M109">
        <v>2.4E-2</v>
      </c>
      <c r="N109">
        <v>4.0000000000000001E-3</v>
      </c>
      <c r="O109" t="s">
        <v>45</v>
      </c>
      <c r="P109" t="s">
        <v>28</v>
      </c>
      <c r="Q109" t="s">
        <v>21</v>
      </c>
    </row>
    <row r="110" spans="1:17" x14ac:dyDescent="0.2">
      <c r="A110" t="s">
        <v>130</v>
      </c>
      <c r="B110">
        <v>0.02</v>
      </c>
      <c r="C110" s="4"/>
      <c r="F110">
        <v>1768</v>
      </c>
      <c r="G110">
        <v>1768</v>
      </c>
      <c r="H110">
        <v>1799</v>
      </c>
      <c r="I110">
        <v>1799</v>
      </c>
      <c r="J110">
        <v>1768</v>
      </c>
      <c r="K110">
        <v>1799</v>
      </c>
      <c r="L110">
        <v>31</v>
      </c>
      <c r="M110">
        <v>1.7000000000000001E-2</v>
      </c>
      <c r="N110">
        <v>-3.0000000000000001E-3</v>
      </c>
      <c r="O110" t="s">
        <v>45</v>
      </c>
      <c r="P110" t="s">
        <v>28</v>
      </c>
      <c r="Q110" t="s">
        <v>24</v>
      </c>
    </row>
    <row r="111" spans="1:17" x14ac:dyDescent="0.2">
      <c r="A111" t="s">
        <v>131</v>
      </c>
      <c r="B111">
        <v>0.64</v>
      </c>
      <c r="C111" s="4"/>
      <c r="F111">
        <v>199</v>
      </c>
      <c r="G111">
        <v>199</v>
      </c>
      <c r="H111">
        <v>553</v>
      </c>
      <c r="I111">
        <v>553</v>
      </c>
      <c r="J111">
        <v>199</v>
      </c>
      <c r="K111">
        <v>553</v>
      </c>
      <c r="L111">
        <v>354</v>
      </c>
      <c r="M111">
        <v>0.64</v>
      </c>
      <c r="N111">
        <v>0</v>
      </c>
      <c r="O111" t="s">
        <v>45</v>
      </c>
      <c r="P111" t="s">
        <v>21</v>
      </c>
      <c r="Q111" t="s">
        <v>28</v>
      </c>
    </row>
    <row r="112" spans="1:17" x14ac:dyDescent="0.2">
      <c r="A112" t="s">
        <v>132</v>
      </c>
      <c r="B112">
        <v>0.5</v>
      </c>
      <c r="C112" s="4">
        <v>1</v>
      </c>
      <c r="D112">
        <v>2</v>
      </c>
      <c r="E112">
        <v>5</v>
      </c>
      <c r="F112">
        <v>450</v>
      </c>
      <c r="G112">
        <v>450</v>
      </c>
      <c r="H112">
        <v>900</v>
      </c>
      <c r="I112">
        <v>900</v>
      </c>
      <c r="J112">
        <v>450</v>
      </c>
      <c r="K112">
        <v>900</v>
      </c>
      <c r="L112">
        <v>450</v>
      </c>
      <c r="M112">
        <v>0.5</v>
      </c>
      <c r="N112">
        <v>0</v>
      </c>
      <c r="O112" t="s">
        <v>83</v>
      </c>
      <c r="P112" t="s">
        <v>21</v>
      </c>
      <c r="Q112" t="s">
        <v>28</v>
      </c>
    </row>
    <row r="113" spans="1:17" x14ac:dyDescent="0.2">
      <c r="A113" t="s">
        <v>133</v>
      </c>
      <c r="B113">
        <v>0.47</v>
      </c>
      <c r="C113" s="4"/>
      <c r="F113">
        <v>169</v>
      </c>
      <c r="G113">
        <v>169</v>
      </c>
      <c r="H113">
        <v>320</v>
      </c>
      <c r="I113">
        <v>320</v>
      </c>
      <c r="J113">
        <v>169</v>
      </c>
      <c r="K113">
        <v>320</v>
      </c>
      <c r="L113">
        <v>151</v>
      </c>
      <c r="M113">
        <v>0.47199999999999998</v>
      </c>
      <c r="N113">
        <v>2E-3</v>
      </c>
      <c r="O113" t="s">
        <v>45</v>
      </c>
      <c r="P113" t="s">
        <v>21</v>
      </c>
      <c r="Q113" t="s">
        <v>28</v>
      </c>
    </row>
  </sheetData>
  <pageMargins left="0.75" right="0.75" top="1" bottom="1" header="0.5" footer="0.5"/>
  <tableParts count="1">
    <tablePart r:id="rId1"/>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3:H107"/>
  <sheetViews>
    <sheetView workbookViewId="0">
      <selection activeCell="A3" sqref="A3:E4"/>
    </sheetView>
  </sheetViews>
  <sheetFormatPr baseColWidth="10" defaultRowHeight="16" x14ac:dyDescent="0.2"/>
  <cols>
    <col min="1" max="1" width="62.33203125" bestFit="1" customWidth="1"/>
    <col min="2" max="2" width="13.1640625" bestFit="1" customWidth="1"/>
    <col min="3" max="3" width="15.33203125" bestFit="1" customWidth="1"/>
    <col min="4" max="4" width="13.33203125" bestFit="1" customWidth="1"/>
    <col min="5" max="5" width="12.33203125" bestFit="1" customWidth="1"/>
    <col min="7" max="7" width="65" bestFit="1" customWidth="1"/>
    <col min="8" max="8" width="15.5" bestFit="1" customWidth="1"/>
  </cols>
  <sheetData>
    <row r="3" spans="1:8" x14ac:dyDescent="0.2">
      <c r="A3" s="5" t="s">
        <v>146</v>
      </c>
      <c r="B3" s="10" t="s">
        <v>143</v>
      </c>
      <c r="C3" s="7" t="s">
        <v>144</v>
      </c>
      <c r="D3" s="8" t="s">
        <v>145</v>
      </c>
      <c r="E3" s="5" t="s">
        <v>147</v>
      </c>
    </row>
    <row r="4" spans="1:8" x14ac:dyDescent="0.2">
      <c r="A4" s="11">
        <v>112</v>
      </c>
      <c r="B4" s="6">
        <v>1186.8928571428571</v>
      </c>
      <c r="C4" s="7">
        <v>0.36776785714285715</v>
      </c>
      <c r="D4" s="10">
        <v>3.8894736842105258</v>
      </c>
      <c r="E4" s="11">
        <v>723</v>
      </c>
    </row>
    <row r="8" spans="1:8" x14ac:dyDescent="0.2">
      <c r="G8" s="9" t="s">
        <v>140</v>
      </c>
      <c r="H8" s="5" t="s">
        <v>136</v>
      </c>
    </row>
    <row r="9" spans="1:8" x14ac:dyDescent="0.2">
      <c r="G9" s="5">
        <v>171</v>
      </c>
      <c r="H9" s="11">
        <v>5</v>
      </c>
    </row>
    <row r="10" spans="1:8" x14ac:dyDescent="0.2">
      <c r="G10" s="5">
        <v>332</v>
      </c>
      <c r="H10" s="11">
        <v>5</v>
      </c>
    </row>
    <row r="11" spans="1:8" x14ac:dyDescent="0.2">
      <c r="G11" s="5">
        <v>979</v>
      </c>
      <c r="H11" s="11">
        <v>5</v>
      </c>
    </row>
    <row r="12" spans="1:8" x14ac:dyDescent="0.2">
      <c r="G12" s="5">
        <v>2025</v>
      </c>
      <c r="H12" s="11">
        <v>5</v>
      </c>
    </row>
    <row r="13" spans="1:8" x14ac:dyDescent="0.2">
      <c r="G13" s="5">
        <v>195</v>
      </c>
      <c r="H13" s="11">
        <v>5</v>
      </c>
    </row>
    <row r="14" spans="1:8" x14ac:dyDescent="0.2">
      <c r="G14" s="5">
        <v>1620</v>
      </c>
      <c r="H14" s="11">
        <v>5</v>
      </c>
    </row>
    <row r="15" spans="1:8" x14ac:dyDescent="0.2">
      <c r="G15" s="5">
        <v>3640</v>
      </c>
      <c r="H15" s="11">
        <v>5</v>
      </c>
    </row>
    <row r="16" spans="1:8" x14ac:dyDescent="0.2">
      <c r="G16" s="5">
        <v>552</v>
      </c>
      <c r="H16" s="11">
        <v>4.8</v>
      </c>
    </row>
    <row r="17" spans="1:8" x14ac:dyDescent="0.2">
      <c r="G17" s="5">
        <v>1740</v>
      </c>
      <c r="H17" s="11">
        <v>4.8</v>
      </c>
    </row>
    <row r="18" spans="1:8" x14ac:dyDescent="0.2">
      <c r="G18" s="5">
        <v>1274</v>
      </c>
      <c r="H18" s="11">
        <v>4.8</v>
      </c>
    </row>
    <row r="23" spans="1:8" x14ac:dyDescent="0.2">
      <c r="A23" s="12" t="s">
        <v>139</v>
      </c>
      <c r="B23" s="5" t="s">
        <v>135</v>
      </c>
    </row>
    <row r="24" spans="1:8" x14ac:dyDescent="0.2">
      <c r="A24" s="3" t="s">
        <v>131</v>
      </c>
      <c r="B24" s="11">
        <v>0.64</v>
      </c>
    </row>
    <row r="25" spans="1:8" x14ac:dyDescent="0.2">
      <c r="A25" s="3" t="s">
        <v>31</v>
      </c>
      <c r="B25" s="11">
        <v>0.55000000000000004</v>
      </c>
    </row>
    <row r="26" spans="1:8" x14ac:dyDescent="0.2">
      <c r="A26" s="3" t="s">
        <v>85</v>
      </c>
      <c r="B26" s="11">
        <v>0.55000000000000004</v>
      </c>
    </row>
    <row r="27" spans="1:8" x14ac:dyDescent="0.2">
      <c r="A27" s="3" t="s">
        <v>72</v>
      </c>
      <c r="B27" s="11">
        <v>0.55000000000000004</v>
      </c>
    </row>
    <row r="28" spans="1:8" x14ac:dyDescent="0.2">
      <c r="A28" s="3" t="s">
        <v>48</v>
      </c>
      <c r="B28" s="11">
        <v>0.54</v>
      </c>
    </row>
    <row r="29" spans="1:8" x14ac:dyDescent="0.2">
      <c r="A29" s="3" t="s">
        <v>84</v>
      </c>
      <c r="B29" s="11">
        <v>0.54</v>
      </c>
    </row>
    <row r="30" spans="1:8" x14ac:dyDescent="0.2">
      <c r="A30" s="3" t="s">
        <v>60</v>
      </c>
      <c r="B30" s="11">
        <v>0.53</v>
      </c>
    </row>
    <row r="31" spans="1:8" x14ac:dyDescent="0.2">
      <c r="A31" s="3" t="s">
        <v>43</v>
      </c>
      <c r="B31" s="11">
        <v>0.53</v>
      </c>
    </row>
    <row r="32" spans="1:8" x14ac:dyDescent="0.2">
      <c r="A32" s="3" t="s">
        <v>54</v>
      </c>
      <c r="B32" s="11">
        <v>0.52</v>
      </c>
    </row>
    <row r="33" spans="1:8" x14ac:dyDescent="0.2">
      <c r="A33" s="3" t="s">
        <v>87</v>
      </c>
      <c r="B33" s="11">
        <v>0.52</v>
      </c>
    </row>
    <row r="38" spans="1:8" x14ac:dyDescent="0.2">
      <c r="G38" s="2" t="s">
        <v>139</v>
      </c>
      <c r="H38" s="5" t="s">
        <v>136</v>
      </c>
    </row>
    <row r="39" spans="1:8" x14ac:dyDescent="0.2">
      <c r="G39" s="3" t="s">
        <v>60</v>
      </c>
      <c r="H39" s="11">
        <v>5</v>
      </c>
    </row>
    <row r="40" spans="1:8" x14ac:dyDescent="0.2">
      <c r="G40" s="3" t="s">
        <v>40</v>
      </c>
      <c r="H40" s="11">
        <v>5</v>
      </c>
    </row>
    <row r="41" spans="1:8" x14ac:dyDescent="0.2">
      <c r="A41" s="2" t="s">
        <v>139</v>
      </c>
      <c r="B41" t="s">
        <v>137</v>
      </c>
      <c r="G41" s="3" t="s">
        <v>123</v>
      </c>
      <c r="H41" s="11">
        <v>5</v>
      </c>
    </row>
    <row r="42" spans="1:8" x14ac:dyDescent="0.2">
      <c r="A42" s="3" t="s">
        <v>86</v>
      </c>
      <c r="B42" s="1">
        <v>69</v>
      </c>
      <c r="G42" s="3" t="s">
        <v>38</v>
      </c>
      <c r="H42" s="11">
        <v>5</v>
      </c>
    </row>
    <row r="43" spans="1:8" x14ac:dyDescent="0.2">
      <c r="A43" s="3" t="s">
        <v>29</v>
      </c>
      <c r="B43" s="1">
        <v>55</v>
      </c>
      <c r="G43" s="3" t="s">
        <v>39</v>
      </c>
      <c r="H43" s="11">
        <v>5</v>
      </c>
    </row>
    <row r="44" spans="1:8" x14ac:dyDescent="0.2">
      <c r="A44" s="3" t="s">
        <v>49</v>
      </c>
      <c r="B44" s="1">
        <v>49</v>
      </c>
      <c r="G44" s="3" t="s">
        <v>103</v>
      </c>
      <c r="H44" s="11">
        <v>5</v>
      </c>
    </row>
    <row r="45" spans="1:8" x14ac:dyDescent="0.2">
      <c r="A45" s="3" t="s">
        <v>42</v>
      </c>
      <c r="B45" s="1">
        <v>44</v>
      </c>
      <c r="G45" s="3" t="s">
        <v>59</v>
      </c>
      <c r="H45" s="11">
        <v>5</v>
      </c>
    </row>
    <row r="46" spans="1:8" x14ac:dyDescent="0.2">
      <c r="A46" s="3" t="s">
        <v>34</v>
      </c>
      <c r="B46" s="1">
        <v>39</v>
      </c>
      <c r="G46" s="3" t="s">
        <v>31</v>
      </c>
      <c r="H46" s="11">
        <v>4.8</v>
      </c>
    </row>
    <row r="47" spans="1:8" x14ac:dyDescent="0.2">
      <c r="A47" s="3" t="s">
        <v>61</v>
      </c>
      <c r="B47" s="1">
        <v>36</v>
      </c>
      <c r="G47" s="3" t="s">
        <v>26</v>
      </c>
      <c r="H47" s="11">
        <v>4.8</v>
      </c>
    </row>
    <row r="48" spans="1:8" x14ac:dyDescent="0.2">
      <c r="A48" s="3" t="s">
        <v>58</v>
      </c>
      <c r="B48" s="1">
        <v>32</v>
      </c>
      <c r="G48" s="3" t="s">
        <v>35</v>
      </c>
      <c r="H48" s="11">
        <v>4.8</v>
      </c>
    </row>
    <row r="49" spans="1:2" x14ac:dyDescent="0.2">
      <c r="A49" s="3" t="s">
        <v>22</v>
      </c>
      <c r="B49" s="1">
        <v>24</v>
      </c>
    </row>
    <row r="50" spans="1:2" x14ac:dyDescent="0.2">
      <c r="A50" s="3" t="s">
        <v>57</v>
      </c>
      <c r="B50" s="1">
        <v>20</v>
      </c>
    </row>
    <row r="51" spans="1:2" x14ac:dyDescent="0.2">
      <c r="A51" s="3" t="s">
        <v>52</v>
      </c>
      <c r="B51" s="1">
        <v>20</v>
      </c>
    </row>
    <row r="83" spans="1:2" x14ac:dyDescent="0.2">
      <c r="A83" s="2" t="s">
        <v>141</v>
      </c>
      <c r="B83" t="s">
        <v>134</v>
      </c>
    </row>
    <row r="84" spans="1:2" x14ac:dyDescent="0.2">
      <c r="A84" s="3" t="s">
        <v>18</v>
      </c>
      <c r="B84" s="1">
        <v>26</v>
      </c>
    </row>
    <row r="85" spans="1:2" x14ac:dyDescent="0.2">
      <c r="A85" s="3" t="s">
        <v>23</v>
      </c>
      <c r="B85" s="1">
        <v>19</v>
      </c>
    </row>
    <row r="86" spans="1:2" x14ac:dyDescent="0.2">
      <c r="A86" s="3" t="s">
        <v>45</v>
      </c>
      <c r="B86" s="1">
        <v>55</v>
      </c>
    </row>
    <row r="87" spans="1:2" x14ac:dyDescent="0.2">
      <c r="A87" s="3" t="s">
        <v>83</v>
      </c>
      <c r="B87" s="1">
        <v>12</v>
      </c>
    </row>
    <row r="88" spans="1:2" x14ac:dyDescent="0.2">
      <c r="A88" s="3" t="s">
        <v>138</v>
      </c>
      <c r="B88" s="1">
        <v>112</v>
      </c>
    </row>
    <row r="103" spans="1:2" x14ac:dyDescent="0.2">
      <c r="A103" s="2" t="s">
        <v>142</v>
      </c>
      <c r="B103" t="s">
        <v>134</v>
      </c>
    </row>
    <row r="104" spans="1:2" x14ac:dyDescent="0.2">
      <c r="A104" s="3" t="s">
        <v>21</v>
      </c>
      <c r="B104" s="1">
        <v>62</v>
      </c>
    </row>
    <row r="105" spans="1:2" x14ac:dyDescent="0.2">
      <c r="A105" s="3" t="s">
        <v>28</v>
      </c>
      <c r="B105" s="1">
        <v>18</v>
      </c>
    </row>
    <row r="106" spans="1:2" x14ac:dyDescent="0.2">
      <c r="A106" s="3" t="s">
        <v>19</v>
      </c>
      <c r="B106" s="1">
        <v>32</v>
      </c>
    </row>
    <row r="107" spans="1:2" x14ac:dyDescent="0.2">
      <c r="A107" s="3" t="s">
        <v>138</v>
      </c>
      <c r="B107" s="1">
        <v>112</v>
      </c>
    </row>
  </sheetData>
  <pageMargins left="0.7" right="0.7" top="0.75" bottom="0.75" header="0.3" footer="0.3"/>
  <pageSetup paperSize="9" orientation="portrait" horizontalDpi="0" verticalDpi="0"/>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B3:I19"/>
  <sheetViews>
    <sheetView tabSelected="1" topLeftCell="A42" zoomScale="86" zoomScaleNormal="50" zoomScalePageLayoutView="50" workbookViewId="0">
      <selection activeCell="K23" sqref="K23"/>
    </sheetView>
  </sheetViews>
  <sheetFormatPr baseColWidth="10" defaultRowHeight="16" x14ac:dyDescent="0.2"/>
  <cols>
    <col min="2" max="2" width="66.1640625" customWidth="1"/>
    <col min="3" max="3" width="34.5" customWidth="1"/>
    <col min="4" max="4" width="27.5" customWidth="1"/>
    <col min="5" max="5" width="60" customWidth="1"/>
    <col min="6" max="6" width="26.1640625" customWidth="1"/>
    <col min="8" max="8" width="73" customWidth="1"/>
    <col min="9" max="9" width="15.5" bestFit="1" customWidth="1"/>
  </cols>
  <sheetData>
    <row r="3" spans="2:9" ht="26" x14ac:dyDescent="0.3">
      <c r="B3" s="14" t="str">
        <f>Dashboard_Data!A3</f>
        <v>Total products</v>
      </c>
      <c r="C3" s="15" t="str">
        <f>Dashboard_Data!B3</f>
        <v>Average Price</v>
      </c>
      <c r="D3" s="16" t="str">
        <f>Dashboard_Data!C3</f>
        <v>Average discount</v>
      </c>
      <c r="E3" s="17" t="str">
        <f>Dashboard_Data!D3</f>
        <v>Average rating</v>
      </c>
      <c r="F3" s="14" t="str">
        <f>Dashboard_Data!E3</f>
        <v>Total reviews</v>
      </c>
    </row>
    <row r="4" spans="2:9" ht="26" x14ac:dyDescent="0.3">
      <c r="B4" s="14">
        <f>Dashboard_Data!A4</f>
        <v>112</v>
      </c>
      <c r="C4" s="15">
        <f>Dashboard_Data!B4</f>
        <v>1186.8928571428571</v>
      </c>
      <c r="D4" s="16">
        <f>Dashboard_Data!C4</f>
        <v>0.36776785714285715</v>
      </c>
      <c r="E4" s="17">
        <f>Dashboard_Data!D4</f>
        <v>3.8894736842105258</v>
      </c>
      <c r="F4" s="14">
        <f>Dashboard_Data!E4</f>
        <v>723</v>
      </c>
    </row>
    <row r="6" spans="2:9" x14ac:dyDescent="0.2">
      <c r="B6" s="18" t="s">
        <v>148</v>
      </c>
      <c r="C6" s="19"/>
      <c r="E6" s="18" t="s">
        <v>149</v>
      </c>
      <c r="F6" s="19"/>
      <c r="H6" s="18" t="s">
        <v>150</v>
      </c>
      <c r="I6" s="19"/>
    </row>
    <row r="7" spans="2:9" x14ac:dyDescent="0.2">
      <c r="B7" s="19"/>
      <c r="C7" s="19"/>
      <c r="E7" s="19"/>
      <c r="F7" s="19"/>
      <c r="H7" s="19"/>
      <c r="I7" s="19"/>
    </row>
    <row r="8" spans="2:9" x14ac:dyDescent="0.2">
      <c r="B8" s="19"/>
      <c r="C8" s="19"/>
      <c r="E8" s="19"/>
      <c r="F8" s="19"/>
      <c r="H8" s="19"/>
      <c r="I8" s="19"/>
    </row>
    <row r="9" spans="2:9" x14ac:dyDescent="0.2">
      <c r="B9" s="20" t="s">
        <v>139</v>
      </c>
      <c r="C9" s="20" t="s">
        <v>135</v>
      </c>
      <c r="E9" s="13" t="s">
        <v>139</v>
      </c>
      <c r="F9" s="13" t="s">
        <v>137</v>
      </c>
      <c r="H9" s="20" t="s">
        <v>139</v>
      </c>
      <c r="I9" s="20" t="s">
        <v>136</v>
      </c>
    </row>
    <row r="10" spans="2:9" x14ac:dyDescent="0.2">
      <c r="B10" s="21" t="s">
        <v>131</v>
      </c>
      <c r="C10" s="22">
        <v>0.64</v>
      </c>
      <c r="E10" s="21" t="s">
        <v>86</v>
      </c>
      <c r="F10" s="22">
        <v>69</v>
      </c>
      <c r="H10" s="21" t="s">
        <v>60</v>
      </c>
      <c r="I10" s="23">
        <v>5</v>
      </c>
    </row>
    <row r="11" spans="2:9" x14ac:dyDescent="0.2">
      <c r="B11" s="21" t="s">
        <v>31</v>
      </c>
      <c r="C11" s="22">
        <v>0.55000000000000004</v>
      </c>
      <c r="E11" s="21" t="s">
        <v>29</v>
      </c>
      <c r="F11" s="22">
        <v>55</v>
      </c>
      <c r="H11" s="21" t="s">
        <v>40</v>
      </c>
      <c r="I11" s="23">
        <v>5</v>
      </c>
    </row>
    <row r="12" spans="2:9" x14ac:dyDescent="0.2">
      <c r="B12" s="21" t="s">
        <v>85</v>
      </c>
      <c r="C12" s="22">
        <v>0.55000000000000004</v>
      </c>
      <c r="E12" s="21" t="s">
        <v>49</v>
      </c>
      <c r="F12" s="22">
        <v>49</v>
      </c>
      <c r="H12" s="21" t="s">
        <v>123</v>
      </c>
      <c r="I12" s="23">
        <v>5</v>
      </c>
    </row>
    <row r="13" spans="2:9" x14ac:dyDescent="0.2">
      <c r="B13" s="21" t="s">
        <v>72</v>
      </c>
      <c r="C13" s="22">
        <v>0.55000000000000004</v>
      </c>
      <c r="E13" s="21" t="s">
        <v>42</v>
      </c>
      <c r="F13" s="22">
        <v>44</v>
      </c>
      <c r="H13" s="21" t="s">
        <v>38</v>
      </c>
      <c r="I13" s="23">
        <v>5</v>
      </c>
    </row>
    <row r="14" spans="2:9" x14ac:dyDescent="0.2">
      <c r="B14" s="21" t="s">
        <v>48</v>
      </c>
      <c r="C14" s="22">
        <v>0.54</v>
      </c>
      <c r="E14" s="21" t="s">
        <v>34</v>
      </c>
      <c r="F14" s="22">
        <v>39</v>
      </c>
      <c r="H14" s="21" t="s">
        <v>39</v>
      </c>
      <c r="I14" s="23">
        <v>5</v>
      </c>
    </row>
    <row r="15" spans="2:9" x14ac:dyDescent="0.2">
      <c r="B15" s="21" t="s">
        <v>84</v>
      </c>
      <c r="C15" s="22">
        <v>0.54</v>
      </c>
      <c r="E15" s="21" t="s">
        <v>61</v>
      </c>
      <c r="F15" s="22">
        <v>36</v>
      </c>
      <c r="H15" s="21" t="s">
        <v>103</v>
      </c>
      <c r="I15" s="23">
        <v>5</v>
      </c>
    </row>
    <row r="16" spans="2:9" x14ac:dyDescent="0.2">
      <c r="B16" s="21" t="s">
        <v>60</v>
      </c>
      <c r="C16" s="22">
        <v>0.53</v>
      </c>
      <c r="E16" s="21" t="s">
        <v>58</v>
      </c>
      <c r="F16" s="22">
        <v>32</v>
      </c>
      <c r="H16" s="21" t="s">
        <v>59</v>
      </c>
      <c r="I16" s="23">
        <v>5</v>
      </c>
    </row>
    <row r="17" spans="2:9" x14ac:dyDescent="0.2">
      <c r="B17" s="21" t="s">
        <v>43</v>
      </c>
      <c r="C17" s="22">
        <v>0.53</v>
      </c>
      <c r="E17" s="21" t="s">
        <v>22</v>
      </c>
      <c r="F17" s="22">
        <v>24</v>
      </c>
      <c r="H17" s="21" t="s">
        <v>31</v>
      </c>
      <c r="I17" s="23">
        <v>4.8</v>
      </c>
    </row>
    <row r="18" spans="2:9" x14ac:dyDescent="0.2">
      <c r="B18" s="21" t="s">
        <v>54</v>
      </c>
      <c r="C18" s="22">
        <v>0.52</v>
      </c>
      <c r="E18" s="21" t="s">
        <v>57</v>
      </c>
      <c r="F18" s="22">
        <v>20</v>
      </c>
      <c r="H18" s="21" t="s">
        <v>26</v>
      </c>
      <c r="I18" s="23">
        <v>4.8</v>
      </c>
    </row>
    <row r="19" spans="2:9" x14ac:dyDescent="0.2">
      <c r="B19" s="21" t="s">
        <v>87</v>
      </c>
      <c r="C19" s="22">
        <v>0.52</v>
      </c>
      <c r="E19" s="21" t="s">
        <v>52</v>
      </c>
      <c r="F19" s="22">
        <v>20</v>
      </c>
      <c r="H19" s="21" t="s">
        <v>35</v>
      </c>
      <c r="I19" s="23">
        <v>4.8</v>
      </c>
    </row>
  </sheetData>
  <mergeCells count="3">
    <mergeCell ref="E6:F8"/>
    <mergeCell ref="H6:I8"/>
    <mergeCell ref="B6:C8"/>
  </mergeCells>
  <pageMargins left="0.7" right="0.7" top="0.75" bottom="0.75" header="0.3" footer="0.3"/>
  <pageSetup paperSize="9" scale="23" fitToWidth="0" fitToHeight="0" orientation="portrait" horizontalDpi="0" verticalDpi="0"/>
  <drawing r:id="rId4"/>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jumia_products_cleaned</vt:lpstr>
      <vt:lpstr>Dashboard_Data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Mathooko</dc:creator>
  <cp:lastModifiedBy>Joel Mathooko</cp:lastModifiedBy>
  <dcterms:created xsi:type="dcterms:W3CDTF">2026-09-20T20:38:55Z</dcterms:created>
  <dcterms:modified xsi:type="dcterms:W3CDTF">2026-09-20T20:38:55Z</dcterms:modified>
</cp:coreProperties>
</file>